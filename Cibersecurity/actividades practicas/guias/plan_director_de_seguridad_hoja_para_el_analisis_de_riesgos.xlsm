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1" codeName="{3D1A710C-6663-3D7B-7F91-EC182F24A4BC}"/>
  <workbookPr filterPrivacy="1" codeName="ThisWorkbook" defaultThemeVersion="124226"/>
  <xr:revisionPtr revIDLastSave="0" documentId="8_{F1C7594C-3241-4765-A8D2-3421BD495FFF}" xr6:coauthVersionLast="36" xr6:coauthVersionMax="36" xr10:uidLastSave="{00000000-0000-0000-0000-000000000000}"/>
  <bookViews>
    <workbookView xWindow="0" yWindow="0" windowWidth="23040" windowHeight="8364" xr2:uid="{00000000-000D-0000-FFFF-FFFF00000000}"/>
  </bookViews>
  <sheets>
    <sheet name="Instrucciones" sheetId="8" r:id="rId1"/>
    <sheet name="Ejemplo de análisis" sheetId="1" r:id="rId2"/>
    <sheet name="Tablas AR" sheetId="2" r:id="rId3"/>
    <sheet name="Catálogo amenazas" sheetId="4" r:id="rId4"/>
    <sheet name="Activos" sheetId="5" r:id="rId5"/>
    <sheet name="Cruces Activo-Amenaza" sheetId="7" r:id="rId6"/>
    <sheet name="Análisis de Riesgos" sheetId="6" r:id="rId7"/>
  </sheets>
  <calcPr calcId="191029"/>
</workbook>
</file>

<file path=xl/calcChain.xml><?xml version="1.0" encoding="utf-8"?>
<calcChain xmlns="http://schemas.openxmlformats.org/spreadsheetml/2006/main">
  <c r="I62" i="6" l="1"/>
  <c r="I78" i="6"/>
  <c r="I110" i="6"/>
  <c r="I318" i="6"/>
  <c r="I334"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I930" i="6" s="1"/>
  <c r="H931" i="6"/>
  <c r="I931" i="6" s="1"/>
  <c r="F4" i="6"/>
  <c r="I4" i="6" s="1"/>
  <c r="F5" i="6"/>
  <c r="I5" i="6" s="1"/>
  <c r="F6" i="6"/>
  <c r="I6" i="6" s="1"/>
  <c r="F7" i="6"/>
  <c r="I7" i="6" s="1"/>
  <c r="F8" i="6"/>
  <c r="I8" i="6" s="1"/>
  <c r="F9" i="6"/>
  <c r="I9" i="6" s="1"/>
  <c r="F10" i="6"/>
  <c r="I10" i="6" s="1"/>
  <c r="F11" i="6"/>
  <c r="I11" i="6" s="1"/>
  <c r="F12" i="6"/>
  <c r="I12" i="6" s="1"/>
  <c r="F13" i="6"/>
  <c r="I13" i="6" s="1"/>
  <c r="F14" i="6"/>
  <c r="I14" i="6" s="1"/>
  <c r="F15" i="6"/>
  <c r="I15" i="6" s="1"/>
  <c r="F16" i="6"/>
  <c r="I16" i="6" s="1"/>
  <c r="F17" i="6"/>
  <c r="I17" i="6" s="1"/>
  <c r="F18" i="6"/>
  <c r="I18" i="6" s="1"/>
  <c r="F19" i="6"/>
  <c r="I19" i="6" s="1"/>
  <c r="F20" i="6"/>
  <c r="I20" i="6" s="1"/>
  <c r="F21" i="6"/>
  <c r="I21" i="6" s="1"/>
  <c r="F22" i="6"/>
  <c r="I22" i="6" s="1"/>
  <c r="F23" i="6"/>
  <c r="I23" i="6" s="1"/>
  <c r="F24" i="6"/>
  <c r="I24" i="6" s="1"/>
  <c r="F25" i="6"/>
  <c r="I25" i="6" s="1"/>
  <c r="F26" i="6"/>
  <c r="I26" i="6" s="1"/>
  <c r="F27" i="6"/>
  <c r="I27" i="6" s="1"/>
  <c r="F28" i="6"/>
  <c r="I28" i="6" s="1"/>
  <c r="F29" i="6"/>
  <c r="I29" i="6" s="1"/>
  <c r="F30" i="6"/>
  <c r="I30" i="6" s="1"/>
  <c r="F31" i="6"/>
  <c r="I31" i="6" s="1"/>
  <c r="F32" i="6"/>
  <c r="I32" i="6" s="1"/>
  <c r="F33" i="6"/>
  <c r="I33" i="6" s="1"/>
  <c r="F34" i="6"/>
  <c r="I34" i="6" s="1"/>
  <c r="F35" i="6"/>
  <c r="I35" i="6" s="1"/>
  <c r="F36" i="6"/>
  <c r="I36" i="6" s="1"/>
  <c r="F37" i="6"/>
  <c r="I37" i="6" s="1"/>
  <c r="F38" i="6"/>
  <c r="I38" i="6" s="1"/>
  <c r="F39" i="6"/>
  <c r="I39" i="6" s="1"/>
  <c r="F40" i="6"/>
  <c r="I40" i="6" s="1"/>
  <c r="F41" i="6"/>
  <c r="I41" i="6" s="1"/>
  <c r="F42" i="6"/>
  <c r="I42" i="6" s="1"/>
  <c r="F43" i="6"/>
  <c r="I43" i="6" s="1"/>
  <c r="F44" i="6"/>
  <c r="I44" i="6" s="1"/>
  <c r="F45" i="6"/>
  <c r="I45" i="6" s="1"/>
  <c r="F46" i="6"/>
  <c r="I46" i="6" s="1"/>
  <c r="F47" i="6"/>
  <c r="I47" i="6" s="1"/>
  <c r="F48" i="6"/>
  <c r="I48" i="6" s="1"/>
  <c r="F49" i="6"/>
  <c r="I49" i="6" s="1"/>
  <c r="F50" i="6"/>
  <c r="I50" i="6" s="1"/>
  <c r="F51" i="6"/>
  <c r="I51" i="6" s="1"/>
  <c r="F52" i="6"/>
  <c r="I52" i="6" s="1"/>
  <c r="F53" i="6"/>
  <c r="I53" i="6" s="1"/>
  <c r="F54" i="6"/>
  <c r="I54" i="6" s="1"/>
  <c r="F55" i="6"/>
  <c r="I55" i="6" s="1"/>
  <c r="F56" i="6"/>
  <c r="I56" i="6" s="1"/>
  <c r="F57" i="6"/>
  <c r="I57" i="6" s="1"/>
  <c r="F58" i="6"/>
  <c r="I58" i="6" s="1"/>
  <c r="F59" i="6"/>
  <c r="I59" i="6" s="1"/>
  <c r="F60" i="6"/>
  <c r="I60" i="6" s="1"/>
  <c r="F61" i="6"/>
  <c r="I61" i="6" s="1"/>
  <c r="F62" i="6"/>
  <c r="F63" i="6"/>
  <c r="I63" i="6" s="1"/>
  <c r="F64" i="6"/>
  <c r="I64" i="6" s="1"/>
  <c r="F65" i="6"/>
  <c r="I65" i="6" s="1"/>
  <c r="F66" i="6"/>
  <c r="I66" i="6" s="1"/>
  <c r="F67" i="6"/>
  <c r="I67" i="6" s="1"/>
  <c r="F68" i="6"/>
  <c r="I68" i="6" s="1"/>
  <c r="F69" i="6"/>
  <c r="I69" i="6" s="1"/>
  <c r="F70" i="6"/>
  <c r="I70" i="6" s="1"/>
  <c r="F71" i="6"/>
  <c r="I71" i="6" s="1"/>
  <c r="F72" i="6"/>
  <c r="I72" i="6" s="1"/>
  <c r="F73" i="6"/>
  <c r="I73" i="6" s="1"/>
  <c r="F74" i="6"/>
  <c r="I74" i="6" s="1"/>
  <c r="F75" i="6"/>
  <c r="I75" i="6" s="1"/>
  <c r="F76" i="6"/>
  <c r="I76" i="6" s="1"/>
  <c r="F77" i="6"/>
  <c r="I77" i="6" s="1"/>
  <c r="F78" i="6"/>
  <c r="F79" i="6"/>
  <c r="I79" i="6" s="1"/>
  <c r="F80" i="6"/>
  <c r="I80" i="6" s="1"/>
  <c r="F81" i="6"/>
  <c r="I81" i="6" s="1"/>
  <c r="F82" i="6"/>
  <c r="I82" i="6" s="1"/>
  <c r="F83" i="6"/>
  <c r="I83" i="6" s="1"/>
  <c r="F84" i="6"/>
  <c r="I84" i="6" s="1"/>
  <c r="F85" i="6"/>
  <c r="I85" i="6" s="1"/>
  <c r="F86" i="6"/>
  <c r="I86" i="6" s="1"/>
  <c r="F87" i="6"/>
  <c r="I87" i="6" s="1"/>
  <c r="F88" i="6"/>
  <c r="I88" i="6" s="1"/>
  <c r="F89" i="6"/>
  <c r="I89" i="6" s="1"/>
  <c r="F90" i="6"/>
  <c r="I90" i="6" s="1"/>
  <c r="F91" i="6"/>
  <c r="I91" i="6" s="1"/>
  <c r="F92" i="6"/>
  <c r="I92" i="6" s="1"/>
  <c r="F93" i="6"/>
  <c r="I93" i="6" s="1"/>
  <c r="F94" i="6"/>
  <c r="I94" i="6" s="1"/>
  <c r="F95" i="6"/>
  <c r="I95" i="6" s="1"/>
  <c r="F96" i="6"/>
  <c r="I96" i="6" s="1"/>
  <c r="F97" i="6"/>
  <c r="I97" i="6" s="1"/>
  <c r="F98" i="6"/>
  <c r="I98" i="6" s="1"/>
  <c r="F99" i="6"/>
  <c r="I99" i="6" s="1"/>
  <c r="F100" i="6"/>
  <c r="I100" i="6" s="1"/>
  <c r="F101" i="6"/>
  <c r="I101" i="6" s="1"/>
  <c r="F102" i="6"/>
  <c r="I102" i="6" s="1"/>
  <c r="F103" i="6"/>
  <c r="I103" i="6" s="1"/>
  <c r="F104" i="6"/>
  <c r="I104" i="6" s="1"/>
  <c r="F105" i="6"/>
  <c r="I105" i="6" s="1"/>
  <c r="F106" i="6"/>
  <c r="I106" i="6" s="1"/>
  <c r="F107" i="6"/>
  <c r="I107" i="6" s="1"/>
  <c r="F108" i="6"/>
  <c r="I108" i="6" s="1"/>
  <c r="F109" i="6"/>
  <c r="I109" i="6" s="1"/>
  <c r="F110" i="6"/>
  <c r="F111" i="6"/>
  <c r="I111" i="6" s="1"/>
  <c r="F112" i="6"/>
  <c r="I112" i="6" s="1"/>
  <c r="F113" i="6"/>
  <c r="I113" i="6" s="1"/>
  <c r="F114" i="6"/>
  <c r="I114" i="6" s="1"/>
  <c r="F115" i="6"/>
  <c r="I115" i="6" s="1"/>
  <c r="F116" i="6"/>
  <c r="I116" i="6" s="1"/>
  <c r="F117" i="6"/>
  <c r="I117" i="6" s="1"/>
  <c r="F118" i="6"/>
  <c r="I118" i="6" s="1"/>
  <c r="F119" i="6"/>
  <c r="I119" i="6" s="1"/>
  <c r="F120" i="6"/>
  <c r="I120" i="6" s="1"/>
  <c r="F121" i="6"/>
  <c r="I121" i="6" s="1"/>
  <c r="F122" i="6"/>
  <c r="I122" i="6" s="1"/>
  <c r="F123" i="6"/>
  <c r="I123" i="6" s="1"/>
  <c r="F124" i="6"/>
  <c r="I124" i="6" s="1"/>
  <c r="F125" i="6"/>
  <c r="I125" i="6" s="1"/>
  <c r="F126" i="6"/>
  <c r="I126" i="6" s="1"/>
  <c r="F127" i="6"/>
  <c r="I127" i="6" s="1"/>
  <c r="F128" i="6"/>
  <c r="I128" i="6" s="1"/>
  <c r="F129" i="6"/>
  <c r="I129" i="6" s="1"/>
  <c r="F130" i="6"/>
  <c r="I130" i="6" s="1"/>
  <c r="F131" i="6"/>
  <c r="I131" i="6" s="1"/>
  <c r="F132" i="6"/>
  <c r="I132" i="6" s="1"/>
  <c r="F133" i="6"/>
  <c r="I133" i="6" s="1"/>
  <c r="F134" i="6"/>
  <c r="I134" i="6" s="1"/>
  <c r="F135" i="6"/>
  <c r="I135" i="6" s="1"/>
  <c r="F136" i="6"/>
  <c r="I136" i="6" s="1"/>
  <c r="F137" i="6"/>
  <c r="I137" i="6" s="1"/>
  <c r="F138" i="6"/>
  <c r="I138" i="6" s="1"/>
  <c r="F139" i="6"/>
  <c r="I139" i="6" s="1"/>
  <c r="F140" i="6"/>
  <c r="I140" i="6" s="1"/>
  <c r="F141" i="6"/>
  <c r="I141" i="6" s="1"/>
  <c r="F142" i="6"/>
  <c r="I142" i="6" s="1"/>
  <c r="F143" i="6"/>
  <c r="I143" i="6" s="1"/>
  <c r="F144" i="6"/>
  <c r="I144" i="6" s="1"/>
  <c r="F145" i="6"/>
  <c r="I145" i="6" s="1"/>
  <c r="F146" i="6"/>
  <c r="I146" i="6" s="1"/>
  <c r="F147" i="6"/>
  <c r="I147" i="6" s="1"/>
  <c r="F148" i="6"/>
  <c r="I148" i="6" s="1"/>
  <c r="F149" i="6"/>
  <c r="I149" i="6" s="1"/>
  <c r="F150" i="6"/>
  <c r="I150" i="6" s="1"/>
  <c r="F151" i="6"/>
  <c r="I151" i="6" s="1"/>
  <c r="F152" i="6"/>
  <c r="I152" i="6" s="1"/>
  <c r="F153" i="6"/>
  <c r="I153" i="6" s="1"/>
  <c r="F154" i="6"/>
  <c r="I154" i="6" s="1"/>
  <c r="F155" i="6"/>
  <c r="I155" i="6" s="1"/>
  <c r="F156" i="6"/>
  <c r="I156" i="6" s="1"/>
  <c r="F157" i="6"/>
  <c r="I157" i="6" s="1"/>
  <c r="F158" i="6"/>
  <c r="I158" i="6" s="1"/>
  <c r="F159" i="6"/>
  <c r="I159" i="6" s="1"/>
  <c r="F160" i="6"/>
  <c r="I160" i="6" s="1"/>
  <c r="F161" i="6"/>
  <c r="I161" i="6" s="1"/>
  <c r="F162" i="6"/>
  <c r="I162" i="6" s="1"/>
  <c r="F163" i="6"/>
  <c r="I163" i="6" s="1"/>
  <c r="F164" i="6"/>
  <c r="I164" i="6" s="1"/>
  <c r="F165" i="6"/>
  <c r="I165" i="6" s="1"/>
  <c r="F166" i="6"/>
  <c r="I166" i="6" s="1"/>
  <c r="F167" i="6"/>
  <c r="I167" i="6" s="1"/>
  <c r="F168" i="6"/>
  <c r="I168" i="6" s="1"/>
  <c r="F169" i="6"/>
  <c r="I169" i="6" s="1"/>
  <c r="F170" i="6"/>
  <c r="I170" i="6" s="1"/>
  <c r="F171" i="6"/>
  <c r="I171" i="6" s="1"/>
  <c r="F172" i="6"/>
  <c r="I172" i="6" s="1"/>
  <c r="F173" i="6"/>
  <c r="I173" i="6" s="1"/>
  <c r="F174" i="6"/>
  <c r="I174" i="6" s="1"/>
  <c r="F175" i="6"/>
  <c r="I175" i="6" s="1"/>
  <c r="F176" i="6"/>
  <c r="I176" i="6" s="1"/>
  <c r="F177" i="6"/>
  <c r="I177" i="6" s="1"/>
  <c r="F178" i="6"/>
  <c r="I178" i="6" s="1"/>
  <c r="F179" i="6"/>
  <c r="I179" i="6" s="1"/>
  <c r="F180" i="6"/>
  <c r="I180" i="6" s="1"/>
  <c r="F181" i="6"/>
  <c r="I181" i="6" s="1"/>
  <c r="F182" i="6"/>
  <c r="I182" i="6" s="1"/>
  <c r="F183" i="6"/>
  <c r="I183" i="6" s="1"/>
  <c r="F184" i="6"/>
  <c r="I184" i="6" s="1"/>
  <c r="F185" i="6"/>
  <c r="I185" i="6" s="1"/>
  <c r="F186" i="6"/>
  <c r="I186" i="6" s="1"/>
  <c r="F187" i="6"/>
  <c r="I187" i="6" s="1"/>
  <c r="F188" i="6"/>
  <c r="I188" i="6" s="1"/>
  <c r="F189" i="6"/>
  <c r="I189" i="6" s="1"/>
  <c r="F190" i="6"/>
  <c r="I190" i="6" s="1"/>
  <c r="F191" i="6"/>
  <c r="I191" i="6" s="1"/>
  <c r="F192" i="6"/>
  <c r="I192" i="6" s="1"/>
  <c r="F193" i="6"/>
  <c r="I193" i="6" s="1"/>
  <c r="F194" i="6"/>
  <c r="I194" i="6" s="1"/>
  <c r="F195" i="6"/>
  <c r="I195" i="6" s="1"/>
  <c r="F196" i="6"/>
  <c r="I196" i="6" s="1"/>
  <c r="F197" i="6"/>
  <c r="I197" i="6" s="1"/>
  <c r="F198" i="6"/>
  <c r="I198" i="6" s="1"/>
  <c r="F199" i="6"/>
  <c r="I199" i="6" s="1"/>
  <c r="F200" i="6"/>
  <c r="I200" i="6" s="1"/>
  <c r="F201" i="6"/>
  <c r="I201" i="6" s="1"/>
  <c r="F202" i="6"/>
  <c r="I202" i="6" s="1"/>
  <c r="F203" i="6"/>
  <c r="I203" i="6" s="1"/>
  <c r="F204" i="6"/>
  <c r="I204" i="6" s="1"/>
  <c r="F205" i="6"/>
  <c r="I205" i="6" s="1"/>
  <c r="F206" i="6"/>
  <c r="I206" i="6" s="1"/>
  <c r="F207" i="6"/>
  <c r="I207" i="6" s="1"/>
  <c r="F208" i="6"/>
  <c r="I208" i="6" s="1"/>
  <c r="F209" i="6"/>
  <c r="I209" i="6" s="1"/>
  <c r="F210" i="6"/>
  <c r="I210" i="6" s="1"/>
  <c r="F211" i="6"/>
  <c r="I211" i="6" s="1"/>
  <c r="F212" i="6"/>
  <c r="I212" i="6" s="1"/>
  <c r="F213" i="6"/>
  <c r="I213" i="6" s="1"/>
  <c r="F214" i="6"/>
  <c r="I214" i="6" s="1"/>
  <c r="F215" i="6"/>
  <c r="I215" i="6" s="1"/>
  <c r="F216" i="6"/>
  <c r="I216" i="6" s="1"/>
  <c r="F217" i="6"/>
  <c r="I217" i="6" s="1"/>
  <c r="F218" i="6"/>
  <c r="I218" i="6" s="1"/>
  <c r="F219" i="6"/>
  <c r="I219" i="6" s="1"/>
  <c r="F220" i="6"/>
  <c r="I220" i="6" s="1"/>
  <c r="F221" i="6"/>
  <c r="I221" i="6" s="1"/>
  <c r="F222" i="6"/>
  <c r="I222" i="6" s="1"/>
  <c r="F223" i="6"/>
  <c r="I223" i="6" s="1"/>
  <c r="F224" i="6"/>
  <c r="I224" i="6" s="1"/>
  <c r="F225" i="6"/>
  <c r="I225" i="6" s="1"/>
  <c r="F226" i="6"/>
  <c r="I226" i="6" s="1"/>
  <c r="F227" i="6"/>
  <c r="I227" i="6" s="1"/>
  <c r="F228" i="6"/>
  <c r="I228" i="6" s="1"/>
  <c r="F229" i="6"/>
  <c r="I229" i="6" s="1"/>
  <c r="F230" i="6"/>
  <c r="I230" i="6" s="1"/>
  <c r="F231" i="6"/>
  <c r="I231" i="6" s="1"/>
  <c r="F232" i="6"/>
  <c r="I232" i="6" s="1"/>
  <c r="F233" i="6"/>
  <c r="I233" i="6" s="1"/>
  <c r="F234" i="6"/>
  <c r="I234" i="6" s="1"/>
  <c r="F235" i="6"/>
  <c r="I235" i="6" s="1"/>
  <c r="F236" i="6"/>
  <c r="I236" i="6" s="1"/>
  <c r="F237" i="6"/>
  <c r="I237" i="6" s="1"/>
  <c r="F238" i="6"/>
  <c r="I238" i="6" s="1"/>
  <c r="F239" i="6"/>
  <c r="I239" i="6" s="1"/>
  <c r="F240" i="6"/>
  <c r="I240" i="6" s="1"/>
  <c r="F241" i="6"/>
  <c r="I241" i="6" s="1"/>
  <c r="F242" i="6"/>
  <c r="I242" i="6" s="1"/>
  <c r="F243" i="6"/>
  <c r="I243" i="6" s="1"/>
  <c r="F244" i="6"/>
  <c r="I244" i="6" s="1"/>
  <c r="F245" i="6"/>
  <c r="I245" i="6" s="1"/>
  <c r="F246" i="6"/>
  <c r="I246" i="6" s="1"/>
  <c r="F247" i="6"/>
  <c r="I247" i="6" s="1"/>
  <c r="F248" i="6"/>
  <c r="I248" i="6" s="1"/>
  <c r="F249" i="6"/>
  <c r="I249" i="6" s="1"/>
  <c r="F250" i="6"/>
  <c r="I250" i="6" s="1"/>
  <c r="F251" i="6"/>
  <c r="I251" i="6" s="1"/>
  <c r="F252" i="6"/>
  <c r="I252" i="6" s="1"/>
  <c r="F253" i="6"/>
  <c r="I253" i="6" s="1"/>
  <c r="F254" i="6"/>
  <c r="I254" i="6" s="1"/>
  <c r="F255" i="6"/>
  <c r="I255" i="6" s="1"/>
  <c r="F256" i="6"/>
  <c r="I256" i="6" s="1"/>
  <c r="F257" i="6"/>
  <c r="I257" i="6" s="1"/>
  <c r="F258" i="6"/>
  <c r="I258" i="6" s="1"/>
  <c r="F259" i="6"/>
  <c r="I259" i="6" s="1"/>
  <c r="F260" i="6"/>
  <c r="I260" i="6" s="1"/>
  <c r="F261" i="6"/>
  <c r="I261" i="6" s="1"/>
  <c r="F262" i="6"/>
  <c r="I262" i="6" s="1"/>
  <c r="F263" i="6"/>
  <c r="I263" i="6" s="1"/>
  <c r="F264" i="6"/>
  <c r="I264" i="6" s="1"/>
  <c r="F265" i="6"/>
  <c r="I265" i="6" s="1"/>
  <c r="F266" i="6"/>
  <c r="I266" i="6" s="1"/>
  <c r="F267" i="6"/>
  <c r="I267" i="6" s="1"/>
  <c r="F268" i="6"/>
  <c r="I268" i="6" s="1"/>
  <c r="F269" i="6"/>
  <c r="I269" i="6" s="1"/>
  <c r="F270" i="6"/>
  <c r="I270" i="6" s="1"/>
  <c r="F271" i="6"/>
  <c r="I271" i="6" s="1"/>
  <c r="F272" i="6"/>
  <c r="I272" i="6" s="1"/>
  <c r="F273" i="6"/>
  <c r="I273" i="6" s="1"/>
  <c r="F274" i="6"/>
  <c r="I274" i="6" s="1"/>
  <c r="F275" i="6"/>
  <c r="I275" i="6" s="1"/>
  <c r="F276" i="6"/>
  <c r="I276" i="6" s="1"/>
  <c r="F277" i="6"/>
  <c r="I277" i="6" s="1"/>
  <c r="F278" i="6"/>
  <c r="I278" i="6" s="1"/>
  <c r="F279" i="6"/>
  <c r="I279" i="6" s="1"/>
  <c r="F280" i="6"/>
  <c r="I280" i="6" s="1"/>
  <c r="F281" i="6"/>
  <c r="I281" i="6" s="1"/>
  <c r="F282" i="6"/>
  <c r="I282" i="6" s="1"/>
  <c r="F283" i="6"/>
  <c r="I283" i="6" s="1"/>
  <c r="F284" i="6"/>
  <c r="I284" i="6" s="1"/>
  <c r="F285" i="6"/>
  <c r="I285" i="6" s="1"/>
  <c r="F286" i="6"/>
  <c r="I286" i="6" s="1"/>
  <c r="F287" i="6"/>
  <c r="I287" i="6" s="1"/>
  <c r="F288" i="6"/>
  <c r="I288" i="6" s="1"/>
  <c r="F289" i="6"/>
  <c r="I289" i="6" s="1"/>
  <c r="F290" i="6"/>
  <c r="I290" i="6" s="1"/>
  <c r="F291" i="6"/>
  <c r="I291" i="6" s="1"/>
  <c r="F292" i="6"/>
  <c r="I292" i="6" s="1"/>
  <c r="F293" i="6"/>
  <c r="I293" i="6" s="1"/>
  <c r="F294" i="6"/>
  <c r="I294" i="6" s="1"/>
  <c r="F295" i="6"/>
  <c r="I295" i="6" s="1"/>
  <c r="F296" i="6"/>
  <c r="I296" i="6" s="1"/>
  <c r="F297" i="6"/>
  <c r="I297" i="6" s="1"/>
  <c r="F298" i="6"/>
  <c r="I298" i="6" s="1"/>
  <c r="F299" i="6"/>
  <c r="I299" i="6" s="1"/>
  <c r="F300" i="6"/>
  <c r="I300" i="6" s="1"/>
  <c r="F301" i="6"/>
  <c r="I301" i="6" s="1"/>
  <c r="F302" i="6"/>
  <c r="I302" i="6" s="1"/>
  <c r="F303" i="6"/>
  <c r="I303" i="6" s="1"/>
  <c r="F304" i="6"/>
  <c r="I304" i="6" s="1"/>
  <c r="F305" i="6"/>
  <c r="I305" i="6" s="1"/>
  <c r="F306" i="6"/>
  <c r="I306" i="6" s="1"/>
  <c r="F307" i="6"/>
  <c r="I307" i="6" s="1"/>
  <c r="F308" i="6"/>
  <c r="I308" i="6" s="1"/>
  <c r="F309" i="6"/>
  <c r="I309" i="6" s="1"/>
  <c r="F310" i="6"/>
  <c r="I310" i="6" s="1"/>
  <c r="F311" i="6"/>
  <c r="I311" i="6" s="1"/>
  <c r="F312" i="6"/>
  <c r="I312" i="6" s="1"/>
  <c r="F313" i="6"/>
  <c r="I313" i="6" s="1"/>
  <c r="F314" i="6"/>
  <c r="I314" i="6" s="1"/>
  <c r="F315" i="6"/>
  <c r="I315" i="6" s="1"/>
  <c r="F316" i="6"/>
  <c r="I316" i="6" s="1"/>
  <c r="F317" i="6"/>
  <c r="I317" i="6" s="1"/>
  <c r="F318" i="6"/>
  <c r="F319" i="6"/>
  <c r="I319" i="6" s="1"/>
  <c r="F320" i="6"/>
  <c r="I320" i="6" s="1"/>
  <c r="F321" i="6"/>
  <c r="I321" i="6" s="1"/>
  <c r="F322" i="6"/>
  <c r="I322" i="6" s="1"/>
  <c r="F323" i="6"/>
  <c r="I323" i="6" s="1"/>
  <c r="F324" i="6"/>
  <c r="I324" i="6" s="1"/>
  <c r="F325" i="6"/>
  <c r="I325" i="6" s="1"/>
  <c r="F326" i="6"/>
  <c r="I326" i="6" s="1"/>
  <c r="F327" i="6"/>
  <c r="I327" i="6" s="1"/>
  <c r="F328" i="6"/>
  <c r="I328" i="6" s="1"/>
  <c r="F329" i="6"/>
  <c r="I329" i="6" s="1"/>
  <c r="F330" i="6"/>
  <c r="I330" i="6" s="1"/>
  <c r="F331" i="6"/>
  <c r="I331" i="6" s="1"/>
  <c r="F332" i="6"/>
  <c r="I332" i="6" s="1"/>
  <c r="F333" i="6"/>
  <c r="I333" i="6" s="1"/>
  <c r="F334" i="6"/>
  <c r="F335" i="6"/>
  <c r="I335" i="6" s="1"/>
  <c r="F336" i="6"/>
  <c r="I336" i="6" s="1"/>
  <c r="F337" i="6"/>
  <c r="I337" i="6" s="1"/>
  <c r="F338" i="6"/>
  <c r="I338" i="6" s="1"/>
  <c r="F339" i="6"/>
  <c r="I339" i="6" s="1"/>
  <c r="F340" i="6"/>
  <c r="I340" i="6" s="1"/>
  <c r="F341" i="6"/>
  <c r="I341" i="6" s="1"/>
  <c r="F342" i="6"/>
  <c r="I342" i="6" s="1"/>
  <c r="F343" i="6"/>
  <c r="I343" i="6" s="1"/>
  <c r="F344" i="6"/>
  <c r="I344" i="6" s="1"/>
  <c r="F345" i="6"/>
  <c r="I345" i="6" s="1"/>
  <c r="F346" i="6"/>
  <c r="I346" i="6" s="1"/>
  <c r="F347" i="6"/>
  <c r="I347" i="6" s="1"/>
  <c r="F348" i="6"/>
  <c r="I348" i="6" s="1"/>
  <c r="F349" i="6"/>
  <c r="I349" i="6" s="1"/>
  <c r="F350" i="6"/>
  <c r="I350" i="6" s="1"/>
  <c r="F351" i="6"/>
  <c r="I351" i="6" s="1"/>
  <c r="F352" i="6"/>
  <c r="I352" i="6" s="1"/>
  <c r="F353" i="6"/>
  <c r="I353" i="6" s="1"/>
  <c r="F354" i="6"/>
  <c r="I354" i="6" s="1"/>
  <c r="F355" i="6"/>
  <c r="I355" i="6" s="1"/>
  <c r="F356" i="6"/>
  <c r="I356" i="6" s="1"/>
  <c r="F357" i="6"/>
  <c r="I357" i="6" s="1"/>
  <c r="F358" i="6"/>
  <c r="I358" i="6" s="1"/>
  <c r="F359" i="6"/>
  <c r="I359" i="6" s="1"/>
  <c r="F360" i="6"/>
  <c r="I360" i="6" s="1"/>
  <c r="F361" i="6"/>
  <c r="I361" i="6" s="1"/>
  <c r="F362" i="6"/>
  <c r="I362" i="6" s="1"/>
  <c r="F363" i="6"/>
  <c r="I363" i="6" s="1"/>
  <c r="F364" i="6"/>
  <c r="I364" i="6" s="1"/>
  <c r="F365" i="6"/>
  <c r="I365" i="6" s="1"/>
  <c r="F366" i="6"/>
  <c r="I366" i="6" s="1"/>
  <c r="F367" i="6"/>
  <c r="I367" i="6" s="1"/>
  <c r="F368" i="6"/>
  <c r="I368" i="6" s="1"/>
  <c r="F369" i="6"/>
  <c r="I369" i="6" s="1"/>
  <c r="F370" i="6"/>
  <c r="I370" i="6" s="1"/>
  <c r="F371" i="6"/>
  <c r="I371" i="6" s="1"/>
  <c r="F372" i="6"/>
  <c r="I372" i="6" s="1"/>
  <c r="F373" i="6"/>
  <c r="I373" i="6" s="1"/>
  <c r="F374" i="6"/>
  <c r="I374" i="6" s="1"/>
  <c r="F375" i="6"/>
  <c r="I375" i="6" s="1"/>
  <c r="F376" i="6"/>
  <c r="I376" i="6" s="1"/>
  <c r="F377" i="6"/>
  <c r="I377" i="6" s="1"/>
  <c r="F378" i="6"/>
  <c r="I378" i="6" s="1"/>
  <c r="F379" i="6"/>
  <c r="I379" i="6" s="1"/>
  <c r="F380" i="6"/>
  <c r="I380" i="6" s="1"/>
  <c r="F381" i="6"/>
  <c r="I381" i="6" s="1"/>
  <c r="F382" i="6"/>
  <c r="I382" i="6" s="1"/>
  <c r="F383" i="6"/>
  <c r="I383" i="6" s="1"/>
  <c r="F384" i="6"/>
  <c r="I384" i="6" s="1"/>
  <c r="F385" i="6"/>
  <c r="I385" i="6" s="1"/>
  <c r="F386" i="6"/>
  <c r="I386" i="6" s="1"/>
  <c r="F387" i="6"/>
  <c r="I387" i="6" s="1"/>
  <c r="F388" i="6"/>
  <c r="I388" i="6" s="1"/>
  <c r="F389" i="6"/>
  <c r="I389" i="6" s="1"/>
  <c r="F390" i="6"/>
  <c r="I390" i="6" s="1"/>
  <c r="F391" i="6"/>
  <c r="I391" i="6" s="1"/>
  <c r="F392" i="6"/>
  <c r="I392" i="6" s="1"/>
  <c r="F393" i="6"/>
  <c r="I393" i="6" s="1"/>
  <c r="F394" i="6"/>
  <c r="I394" i="6" s="1"/>
  <c r="F395" i="6"/>
  <c r="I395" i="6" s="1"/>
  <c r="F396" i="6"/>
  <c r="I396" i="6" s="1"/>
  <c r="F397" i="6"/>
  <c r="I397" i="6" s="1"/>
  <c r="F398" i="6"/>
  <c r="I398" i="6" s="1"/>
  <c r="F399" i="6"/>
  <c r="I399" i="6" s="1"/>
  <c r="F400" i="6"/>
  <c r="I400" i="6" s="1"/>
  <c r="F401" i="6"/>
  <c r="I401" i="6" s="1"/>
  <c r="F402" i="6"/>
  <c r="I402" i="6" s="1"/>
  <c r="F403" i="6"/>
  <c r="I403" i="6" s="1"/>
  <c r="F404" i="6"/>
  <c r="I404" i="6" s="1"/>
  <c r="F405" i="6"/>
  <c r="I405" i="6" s="1"/>
  <c r="F406" i="6"/>
  <c r="I406" i="6" s="1"/>
  <c r="F407" i="6"/>
  <c r="I407" i="6" s="1"/>
  <c r="F408" i="6"/>
  <c r="I408" i="6" s="1"/>
  <c r="F409" i="6"/>
  <c r="I409" i="6" s="1"/>
  <c r="F410" i="6"/>
  <c r="I410" i="6" s="1"/>
  <c r="F411" i="6"/>
  <c r="I411" i="6" s="1"/>
  <c r="F412" i="6"/>
  <c r="I412" i="6" s="1"/>
  <c r="F413" i="6"/>
  <c r="I413" i="6" s="1"/>
  <c r="F414" i="6"/>
  <c r="I414" i="6" s="1"/>
  <c r="F415" i="6"/>
  <c r="I415" i="6" s="1"/>
  <c r="F416" i="6"/>
  <c r="I416" i="6" s="1"/>
  <c r="F417" i="6"/>
  <c r="I417" i="6" s="1"/>
  <c r="F418" i="6"/>
  <c r="I418" i="6" s="1"/>
  <c r="F419" i="6"/>
  <c r="I419" i="6" s="1"/>
  <c r="F420" i="6"/>
  <c r="I420" i="6" s="1"/>
  <c r="F421" i="6"/>
  <c r="I421" i="6" s="1"/>
  <c r="F422" i="6"/>
  <c r="I422" i="6" s="1"/>
  <c r="F423" i="6"/>
  <c r="I423" i="6" s="1"/>
  <c r="F424" i="6"/>
  <c r="I424" i="6" s="1"/>
  <c r="F425" i="6"/>
  <c r="I425" i="6" s="1"/>
  <c r="F426" i="6"/>
  <c r="I426" i="6" s="1"/>
  <c r="F427" i="6"/>
  <c r="I427" i="6" s="1"/>
  <c r="F428" i="6"/>
  <c r="I428" i="6" s="1"/>
  <c r="F429" i="6"/>
  <c r="I429" i="6" s="1"/>
  <c r="F430" i="6"/>
  <c r="I430" i="6" s="1"/>
  <c r="F431" i="6"/>
  <c r="I431" i="6" s="1"/>
  <c r="F432" i="6"/>
  <c r="I432" i="6" s="1"/>
  <c r="F433" i="6"/>
  <c r="I433" i="6" s="1"/>
  <c r="F434" i="6"/>
  <c r="I434" i="6" s="1"/>
  <c r="F435" i="6"/>
  <c r="I435" i="6" s="1"/>
  <c r="F436" i="6"/>
  <c r="I436" i="6" s="1"/>
  <c r="F437" i="6"/>
  <c r="I437" i="6" s="1"/>
  <c r="F438" i="6"/>
  <c r="I438" i="6" s="1"/>
  <c r="F439" i="6"/>
  <c r="I439" i="6" s="1"/>
  <c r="F440" i="6"/>
  <c r="I440" i="6" s="1"/>
  <c r="F441" i="6"/>
  <c r="I441" i="6" s="1"/>
  <c r="F442" i="6"/>
  <c r="I442" i="6" s="1"/>
  <c r="F443" i="6"/>
  <c r="I443" i="6" s="1"/>
  <c r="F444" i="6"/>
  <c r="I444" i="6" s="1"/>
  <c r="F445" i="6"/>
  <c r="I445" i="6" s="1"/>
  <c r="F446" i="6"/>
  <c r="I446" i="6" s="1"/>
  <c r="F447" i="6"/>
  <c r="I447" i="6" s="1"/>
  <c r="F448" i="6"/>
  <c r="I448" i="6" s="1"/>
  <c r="F449" i="6"/>
  <c r="I449" i="6" s="1"/>
  <c r="F450" i="6"/>
  <c r="I450" i="6" s="1"/>
  <c r="F451" i="6"/>
  <c r="I451" i="6" s="1"/>
  <c r="F452" i="6"/>
  <c r="I452" i="6" s="1"/>
  <c r="F453" i="6"/>
  <c r="I453" i="6" s="1"/>
  <c r="F454" i="6"/>
  <c r="I454" i="6" s="1"/>
  <c r="F455" i="6"/>
  <c r="I455" i="6" s="1"/>
  <c r="F456" i="6"/>
  <c r="I456" i="6" s="1"/>
  <c r="F457" i="6"/>
  <c r="I457" i="6" s="1"/>
  <c r="F458" i="6"/>
  <c r="I458" i="6" s="1"/>
  <c r="F459" i="6"/>
  <c r="I459" i="6" s="1"/>
  <c r="F460" i="6"/>
  <c r="I460" i="6" s="1"/>
  <c r="F461" i="6"/>
  <c r="I461" i="6" s="1"/>
  <c r="F462" i="6"/>
  <c r="I462" i="6" s="1"/>
  <c r="F463" i="6"/>
  <c r="I463" i="6" s="1"/>
  <c r="F464" i="6"/>
  <c r="I464" i="6" s="1"/>
  <c r="F465" i="6"/>
  <c r="I465" i="6" s="1"/>
  <c r="F466" i="6"/>
  <c r="I466" i="6" s="1"/>
  <c r="F467" i="6"/>
  <c r="I467" i="6" s="1"/>
  <c r="F468" i="6"/>
  <c r="I468" i="6" s="1"/>
  <c r="F469" i="6"/>
  <c r="I469" i="6" s="1"/>
  <c r="F470" i="6"/>
  <c r="I470" i="6" s="1"/>
  <c r="F471" i="6"/>
  <c r="I471" i="6" s="1"/>
  <c r="F472" i="6"/>
  <c r="I472" i="6" s="1"/>
  <c r="F473" i="6"/>
  <c r="I473" i="6" s="1"/>
  <c r="F474" i="6"/>
  <c r="I474" i="6" s="1"/>
  <c r="F475" i="6"/>
  <c r="I475" i="6" s="1"/>
  <c r="F476" i="6"/>
  <c r="I476" i="6" s="1"/>
  <c r="F477" i="6"/>
  <c r="I477" i="6" s="1"/>
  <c r="F478" i="6"/>
  <c r="I478" i="6" s="1"/>
  <c r="F479" i="6"/>
  <c r="I479" i="6" s="1"/>
  <c r="F480" i="6"/>
  <c r="I480" i="6" s="1"/>
  <c r="F481" i="6"/>
  <c r="I481" i="6" s="1"/>
  <c r="F482" i="6"/>
  <c r="I482" i="6" s="1"/>
  <c r="F483" i="6"/>
  <c r="I483" i="6" s="1"/>
  <c r="F484" i="6"/>
  <c r="I484" i="6" s="1"/>
  <c r="F485" i="6"/>
  <c r="I485" i="6" s="1"/>
  <c r="F486" i="6"/>
  <c r="I486" i="6" s="1"/>
  <c r="F487" i="6"/>
  <c r="I487" i="6" s="1"/>
  <c r="F488" i="6"/>
  <c r="I488" i="6" s="1"/>
  <c r="F489" i="6"/>
  <c r="I489" i="6" s="1"/>
  <c r="F490" i="6"/>
  <c r="I490" i="6" s="1"/>
  <c r="F491" i="6"/>
  <c r="I491" i="6" s="1"/>
  <c r="F492" i="6"/>
  <c r="I492" i="6" s="1"/>
  <c r="F493" i="6"/>
  <c r="I493" i="6" s="1"/>
  <c r="F494" i="6"/>
  <c r="I494" i="6" s="1"/>
  <c r="F495" i="6"/>
  <c r="I495" i="6" s="1"/>
  <c r="F496" i="6"/>
  <c r="I496" i="6" s="1"/>
  <c r="F497" i="6"/>
  <c r="I497" i="6" s="1"/>
  <c r="F498" i="6"/>
  <c r="I498" i="6" s="1"/>
  <c r="F499" i="6"/>
  <c r="I499" i="6" s="1"/>
  <c r="F500" i="6"/>
  <c r="I500" i="6" s="1"/>
  <c r="F501" i="6"/>
  <c r="I501" i="6" s="1"/>
  <c r="F502" i="6"/>
  <c r="I502" i="6" s="1"/>
  <c r="F503" i="6"/>
  <c r="I503" i="6" s="1"/>
  <c r="F504" i="6"/>
  <c r="I504" i="6" s="1"/>
  <c r="F505" i="6"/>
  <c r="I505" i="6" s="1"/>
  <c r="F506" i="6"/>
  <c r="I506" i="6" s="1"/>
  <c r="F507" i="6"/>
  <c r="I507" i="6" s="1"/>
  <c r="F508" i="6"/>
  <c r="I508" i="6" s="1"/>
  <c r="F509" i="6"/>
  <c r="I509" i="6" s="1"/>
  <c r="F510" i="6"/>
  <c r="I510" i="6" s="1"/>
  <c r="F511" i="6"/>
  <c r="I511" i="6" s="1"/>
  <c r="F512" i="6"/>
  <c r="I512" i="6" s="1"/>
  <c r="F513" i="6"/>
  <c r="I513" i="6" s="1"/>
  <c r="F514" i="6"/>
  <c r="I514" i="6" s="1"/>
  <c r="F515" i="6"/>
  <c r="I515" i="6" s="1"/>
  <c r="F516" i="6"/>
  <c r="I516" i="6" s="1"/>
  <c r="F517" i="6"/>
  <c r="I517" i="6" s="1"/>
  <c r="F518" i="6"/>
  <c r="I518" i="6" s="1"/>
  <c r="F519" i="6"/>
  <c r="I519" i="6" s="1"/>
  <c r="F520" i="6"/>
  <c r="I520" i="6" s="1"/>
  <c r="F521" i="6"/>
  <c r="I521" i="6" s="1"/>
  <c r="F522" i="6"/>
  <c r="I522" i="6" s="1"/>
  <c r="F523" i="6"/>
  <c r="I523" i="6" s="1"/>
  <c r="F524" i="6"/>
  <c r="I524" i="6" s="1"/>
  <c r="F525" i="6"/>
  <c r="I525" i="6" s="1"/>
  <c r="F526" i="6"/>
  <c r="I526" i="6" s="1"/>
  <c r="F527" i="6"/>
  <c r="I527" i="6" s="1"/>
  <c r="F528" i="6"/>
  <c r="I528" i="6" s="1"/>
  <c r="F529" i="6"/>
  <c r="I529" i="6" s="1"/>
  <c r="F530" i="6"/>
  <c r="I530" i="6" s="1"/>
  <c r="F531" i="6"/>
  <c r="I531" i="6" s="1"/>
  <c r="F532" i="6"/>
  <c r="I532" i="6" s="1"/>
  <c r="F533" i="6"/>
  <c r="I533" i="6" s="1"/>
  <c r="F534" i="6"/>
  <c r="I534" i="6" s="1"/>
  <c r="F535" i="6"/>
  <c r="I535" i="6" s="1"/>
  <c r="F536" i="6"/>
  <c r="I536" i="6" s="1"/>
  <c r="F537" i="6"/>
  <c r="I537" i="6" s="1"/>
  <c r="F538" i="6"/>
  <c r="I538" i="6" s="1"/>
  <c r="F539" i="6"/>
  <c r="I539" i="6" s="1"/>
  <c r="F540" i="6"/>
  <c r="I540" i="6" s="1"/>
  <c r="F541" i="6"/>
  <c r="I541" i="6" s="1"/>
  <c r="F542" i="6"/>
  <c r="I542" i="6" s="1"/>
  <c r="F543" i="6"/>
  <c r="I543" i="6" s="1"/>
  <c r="F544" i="6"/>
  <c r="I544" i="6" s="1"/>
  <c r="F545" i="6"/>
  <c r="I545" i="6" s="1"/>
  <c r="F546" i="6"/>
  <c r="I546" i="6" s="1"/>
  <c r="F547" i="6"/>
  <c r="I547" i="6" s="1"/>
  <c r="F548" i="6"/>
  <c r="I548" i="6" s="1"/>
  <c r="F549" i="6"/>
  <c r="I549" i="6" s="1"/>
  <c r="F550" i="6"/>
  <c r="I550" i="6" s="1"/>
  <c r="F551" i="6"/>
  <c r="I551" i="6" s="1"/>
  <c r="F552" i="6"/>
  <c r="I552" i="6" s="1"/>
  <c r="F553" i="6"/>
  <c r="I553" i="6" s="1"/>
  <c r="F554" i="6"/>
  <c r="I554" i="6" s="1"/>
  <c r="F555" i="6"/>
  <c r="I555" i="6" s="1"/>
  <c r="F556" i="6"/>
  <c r="I556" i="6" s="1"/>
  <c r="F557" i="6"/>
  <c r="I557" i="6" s="1"/>
  <c r="F558" i="6"/>
  <c r="I558" i="6" s="1"/>
  <c r="F559" i="6"/>
  <c r="I559" i="6" s="1"/>
  <c r="F560" i="6"/>
  <c r="I560" i="6" s="1"/>
  <c r="F561" i="6"/>
  <c r="I561" i="6" s="1"/>
  <c r="F562" i="6"/>
  <c r="I562" i="6" s="1"/>
  <c r="F563" i="6"/>
  <c r="I563" i="6" s="1"/>
  <c r="F564" i="6"/>
  <c r="I564" i="6" s="1"/>
  <c r="F565" i="6"/>
  <c r="I565" i="6" s="1"/>
  <c r="F566" i="6"/>
  <c r="I566" i="6" s="1"/>
  <c r="F567" i="6"/>
  <c r="I567" i="6" s="1"/>
  <c r="F568" i="6"/>
  <c r="I568" i="6" s="1"/>
  <c r="F569" i="6"/>
  <c r="I569" i="6" s="1"/>
  <c r="F570" i="6"/>
  <c r="I570" i="6" s="1"/>
  <c r="F571" i="6"/>
  <c r="I571" i="6" s="1"/>
  <c r="F572" i="6"/>
  <c r="I572" i="6" s="1"/>
  <c r="F573" i="6"/>
  <c r="I573" i="6" s="1"/>
  <c r="F574" i="6"/>
  <c r="I574" i="6" s="1"/>
  <c r="F575" i="6"/>
  <c r="I575" i="6" s="1"/>
  <c r="F576" i="6"/>
  <c r="I576" i="6" s="1"/>
  <c r="F577" i="6"/>
  <c r="I577" i="6" s="1"/>
  <c r="F578" i="6"/>
  <c r="I578" i="6" s="1"/>
  <c r="F579" i="6"/>
  <c r="I579" i="6" s="1"/>
  <c r="F580" i="6"/>
  <c r="I580" i="6" s="1"/>
  <c r="F581" i="6"/>
  <c r="I581" i="6" s="1"/>
  <c r="F582" i="6"/>
  <c r="I582" i="6" s="1"/>
  <c r="F583" i="6"/>
  <c r="I583" i="6" s="1"/>
  <c r="F584" i="6"/>
  <c r="I584" i="6" s="1"/>
  <c r="F585" i="6"/>
  <c r="I585" i="6" s="1"/>
  <c r="F586" i="6"/>
  <c r="I586" i="6" s="1"/>
  <c r="F587" i="6"/>
  <c r="I587" i="6" s="1"/>
  <c r="F588" i="6"/>
  <c r="I588" i="6" s="1"/>
  <c r="F589" i="6"/>
  <c r="I589" i="6" s="1"/>
  <c r="F590" i="6"/>
  <c r="I590" i="6" s="1"/>
  <c r="F591" i="6"/>
  <c r="I591" i="6" s="1"/>
  <c r="F592" i="6"/>
  <c r="I592" i="6" s="1"/>
  <c r="F593" i="6"/>
  <c r="I593" i="6" s="1"/>
  <c r="F594" i="6"/>
  <c r="I594" i="6" s="1"/>
  <c r="F595" i="6"/>
  <c r="I595" i="6" s="1"/>
  <c r="F596" i="6"/>
  <c r="I596" i="6" s="1"/>
  <c r="F597" i="6"/>
  <c r="I597" i="6" s="1"/>
  <c r="F598" i="6"/>
  <c r="I598" i="6" s="1"/>
  <c r="F599" i="6"/>
  <c r="I599" i="6" s="1"/>
  <c r="F600" i="6"/>
  <c r="I600" i="6" s="1"/>
  <c r="F601" i="6"/>
  <c r="I601" i="6" s="1"/>
  <c r="F602" i="6"/>
  <c r="I602" i="6" s="1"/>
  <c r="F603" i="6"/>
  <c r="I603" i="6" s="1"/>
  <c r="F604" i="6"/>
  <c r="I604" i="6" s="1"/>
  <c r="F605" i="6"/>
  <c r="I605" i="6" s="1"/>
  <c r="F606" i="6"/>
  <c r="I606" i="6" s="1"/>
  <c r="F607" i="6"/>
  <c r="I607" i="6" s="1"/>
  <c r="F608" i="6"/>
  <c r="I608" i="6" s="1"/>
  <c r="F609" i="6"/>
  <c r="I609" i="6" s="1"/>
  <c r="F610" i="6"/>
  <c r="I610" i="6" s="1"/>
  <c r="F611" i="6"/>
  <c r="I611" i="6" s="1"/>
  <c r="F612" i="6"/>
  <c r="I612" i="6" s="1"/>
  <c r="F613" i="6"/>
  <c r="I613" i="6" s="1"/>
  <c r="F614" i="6"/>
  <c r="I614" i="6" s="1"/>
  <c r="F615" i="6"/>
  <c r="I615" i="6" s="1"/>
  <c r="F616" i="6"/>
  <c r="I616" i="6" s="1"/>
  <c r="F617" i="6"/>
  <c r="I617" i="6" s="1"/>
  <c r="F618" i="6"/>
  <c r="I618" i="6" s="1"/>
  <c r="F619" i="6"/>
  <c r="I619" i="6" s="1"/>
  <c r="F620" i="6"/>
  <c r="I620" i="6" s="1"/>
  <c r="F621" i="6"/>
  <c r="I621" i="6" s="1"/>
  <c r="F622" i="6"/>
  <c r="I622" i="6" s="1"/>
  <c r="F623" i="6"/>
  <c r="I623" i="6" s="1"/>
  <c r="F624" i="6"/>
  <c r="I624" i="6" s="1"/>
  <c r="F625" i="6"/>
  <c r="I625" i="6" s="1"/>
  <c r="F626" i="6"/>
  <c r="I626" i="6" s="1"/>
  <c r="F627" i="6"/>
  <c r="I627" i="6" s="1"/>
  <c r="F628" i="6"/>
  <c r="I628" i="6" s="1"/>
  <c r="F629" i="6"/>
  <c r="I629" i="6" s="1"/>
  <c r="F630" i="6"/>
  <c r="I630" i="6" s="1"/>
  <c r="F631" i="6"/>
  <c r="I631" i="6" s="1"/>
  <c r="F632" i="6"/>
  <c r="I632" i="6" s="1"/>
  <c r="F633" i="6"/>
  <c r="I633" i="6" s="1"/>
  <c r="F634" i="6"/>
  <c r="I634" i="6" s="1"/>
  <c r="F635" i="6"/>
  <c r="I635" i="6" s="1"/>
  <c r="F636" i="6"/>
  <c r="I636" i="6" s="1"/>
  <c r="F637" i="6"/>
  <c r="I637" i="6" s="1"/>
  <c r="F638" i="6"/>
  <c r="I638" i="6" s="1"/>
  <c r="F639" i="6"/>
  <c r="I639" i="6" s="1"/>
  <c r="F640" i="6"/>
  <c r="I640" i="6" s="1"/>
  <c r="F641" i="6"/>
  <c r="I641" i="6" s="1"/>
  <c r="F642" i="6"/>
  <c r="I642" i="6" s="1"/>
  <c r="F643" i="6"/>
  <c r="I643" i="6" s="1"/>
  <c r="F644" i="6"/>
  <c r="I644" i="6" s="1"/>
  <c r="F645" i="6"/>
  <c r="I645" i="6" s="1"/>
  <c r="F646" i="6"/>
  <c r="I646" i="6" s="1"/>
  <c r="F647" i="6"/>
  <c r="I647" i="6" s="1"/>
  <c r="F648" i="6"/>
  <c r="I648" i="6" s="1"/>
  <c r="F649" i="6"/>
  <c r="I649" i="6" s="1"/>
  <c r="F650" i="6"/>
  <c r="I650" i="6" s="1"/>
  <c r="F651" i="6"/>
  <c r="I651" i="6" s="1"/>
  <c r="F652" i="6"/>
  <c r="I652" i="6" s="1"/>
  <c r="F653" i="6"/>
  <c r="I653" i="6" s="1"/>
  <c r="F654" i="6"/>
  <c r="I654" i="6" s="1"/>
  <c r="F655" i="6"/>
  <c r="I655" i="6" s="1"/>
  <c r="F656" i="6"/>
  <c r="I656" i="6" s="1"/>
  <c r="F657" i="6"/>
  <c r="I657" i="6" s="1"/>
  <c r="F658" i="6"/>
  <c r="I658" i="6" s="1"/>
  <c r="F659" i="6"/>
  <c r="I659" i="6" s="1"/>
  <c r="F660" i="6"/>
  <c r="I660" i="6" s="1"/>
  <c r="F661" i="6"/>
  <c r="I661" i="6" s="1"/>
  <c r="F662" i="6"/>
  <c r="I662" i="6" s="1"/>
  <c r="F663" i="6"/>
  <c r="I663" i="6" s="1"/>
  <c r="F664" i="6"/>
  <c r="I664" i="6" s="1"/>
  <c r="F665" i="6"/>
  <c r="I665" i="6" s="1"/>
  <c r="F666" i="6"/>
  <c r="I666" i="6" s="1"/>
  <c r="F667" i="6"/>
  <c r="I667" i="6" s="1"/>
  <c r="F668" i="6"/>
  <c r="I668" i="6" s="1"/>
  <c r="F669" i="6"/>
  <c r="I669" i="6" s="1"/>
  <c r="F670" i="6"/>
  <c r="I670" i="6" s="1"/>
  <c r="F671" i="6"/>
  <c r="I671" i="6" s="1"/>
  <c r="F672" i="6"/>
  <c r="I672" i="6" s="1"/>
  <c r="F673" i="6"/>
  <c r="I673" i="6" s="1"/>
  <c r="F674" i="6"/>
  <c r="I674" i="6" s="1"/>
  <c r="F675" i="6"/>
  <c r="I675" i="6" s="1"/>
  <c r="F676" i="6"/>
  <c r="I676" i="6" s="1"/>
  <c r="F677" i="6"/>
  <c r="I677" i="6" s="1"/>
  <c r="F678" i="6"/>
  <c r="I678" i="6" s="1"/>
  <c r="F679" i="6"/>
  <c r="I679" i="6" s="1"/>
  <c r="F680" i="6"/>
  <c r="I680" i="6" s="1"/>
  <c r="F681" i="6"/>
  <c r="I681" i="6" s="1"/>
  <c r="F682" i="6"/>
  <c r="I682" i="6" s="1"/>
  <c r="F683" i="6"/>
  <c r="I683" i="6" s="1"/>
  <c r="F684" i="6"/>
  <c r="I684" i="6" s="1"/>
  <c r="F685" i="6"/>
  <c r="I685" i="6" s="1"/>
  <c r="F686" i="6"/>
  <c r="I686" i="6" s="1"/>
  <c r="F687" i="6"/>
  <c r="I687" i="6" s="1"/>
  <c r="F688" i="6"/>
  <c r="I688" i="6" s="1"/>
  <c r="F689" i="6"/>
  <c r="I689" i="6" s="1"/>
  <c r="F690" i="6"/>
  <c r="I690" i="6" s="1"/>
  <c r="F691" i="6"/>
  <c r="I691" i="6" s="1"/>
  <c r="F692" i="6"/>
  <c r="I692" i="6" s="1"/>
  <c r="F693" i="6"/>
  <c r="I693" i="6" s="1"/>
  <c r="F694" i="6"/>
  <c r="I694" i="6" s="1"/>
  <c r="F695" i="6"/>
  <c r="I695" i="6" s="1"/>
  <c r="F696" i="6"/>
  <c r="I696" i="6" s="1"/>
  <c r="F697" i="6"/>
  <c r="I697" i="6" s="1"/>
  <c r="F698" i="6"/>
  <c r="I698" i="6" s="1"/>
  <c r="F699" i="6"/>
  <c r="I699" i="6" s="1"/>
  <c r="F700" i="6"/>
  <c r="I700" i="6" s="1"/>
  <c r="F701" i="6"/>
  <c r="I701" i="6" s="1"/>
  <c r="F702" i="6"/>
  <c r="I702" i="6" s="1"/>
  <c r="F703" i="6"/>
  <c r="I703" i="6" s="1"/>
  <c r="F704" i="6"/>
  <c r="I704" i="6" s="1"/>
  <c r="F705" i="6"/>
  <c r="I705" i="6" s="1"/>
  <c r="F706" i="6"/>
  <c r="I706" i="6" s="1"/>
  <c r="F707" i="6"/>
  <c r="I707" i="6" s="1"/>
  <c r="F708" i="6"/>
  <c r="I708" i="6" s="1"/>
  <c r="F709" i="6"/>
  <c r="I709" i="6" s="1"/>
  <c r="F710" i="6"/>
  <c r="I710" i="6" s="1"/>
  <c r="F711" i="6"/>
  <c r="I711" i="6" s="1"/>
  <c r="F712" i="6"/>
  <c r="I712" i="6" s="1"/>
  <c r="F713" i="6"/>
  <c r="I713" i="6" s="1"/>
  <c r="F714" i="6"/>
  <c r="I714" i="6" s="1"/>
  <c r="F715" i="6"/>
  <c r="I715" i="6" s="1"/>
  <c r="F716" i="6"/>
  <c r="I716" i="6" s="1"/>
  <c r="F717" i="6"/>
  <c r="I717" i="6" s="1"/>
  <c r="F718" i="6"/>
  <c r="I718" i="6" s="1"/>
  <c r="F719" i="6"/>
  <c r="I719" i="6" s="1"/>
  <c r="F720" i="6"/>
  <c r="I720" i="6" s="1"/>
  <c r="F721" i="6"/>
  <c r="I721" i="6" s="1"/>
  <c r="F722" i="6"/>
  <c r="I722" i="6" s="1"/>
  <c r="F723" i="6"/>
  <c r="I723" i="6" s="1"/>
  <c r="F724" i="6"/>
  <c r="I724" i="6" s="1"/>
  <c r="F725" i="6"/>
  <c r="I725" i="6" s="1"/>
  <c r="F726" i="6"/>
  <c r="I726" i="6" s="1"/>
  <c r="F727" i="6"/>
  <c r="I727" i="6" s="1"/>
  <c r="F728" i="6"/>
  <c r="I728" i="6" s="1"/>
  <c r="F729" i="6"/>
  <c r="I729" i="6" s="1"/>
  <c r="F730" i="6"/>
  <c r="I730" i="6" s="1"/>
  <c r="F731" i="6"/>
  <c r="I731" i="6" s="1"/>
  <c r="F732" i="6"/>
  <c r="I732" i="6" s="1"/>
  <c r="F733" i="6"/>
  <c r="I733" i="6" s="1"/>
  <c r="F734" i="6"/>
  <c r="I734" i="6" s="1"/>
  <c r="F735" i="6"/>
  <c r="I735" i="6" s="1"/>
  <c r="F736" i="6"/>
  <c r="I736" i="6" s="1"/>
  <c r="F737" i="6"/>
  <c r="I737" i="6" s="1"/>
  <c r="F738" i="6"/>
  <c r="I738" i="6" s="1"/>
  <c r="F739" i="6"/>
  <c r="I739" i="6" s="1"/>
  <c r="F740" i="6"/>
  <c r="I740" i="6" s="1"/>
  <c r="F741" i="6"/>
  <c r="I741" i="6" s="1"/>
  <c r="F742" i="6"/>
  <c r="I742" i="6" s="1"/>
  <c r="F743" i="6"/>
  <c r="I743" i="6" s="1"/>
  <c r="F744" i="6"/>
  <c r="I744" i="6" s="1"/>
  <c r="F745" i="6"/>
  <c r="I745" i="6" s="1"/>
  <c r="F746" i="6"/>
  <c r="I746" i="6" s="1"/>
  <c r="F747" i="6"/>
  <c r="I747" i="6" s="1"/>
  <c r="F748" i="6"/>
  <c r="I748" i="6" s="1"/>
  <c r="F749" i="6"/>
  <c r="I749" i="6" s="1"/>
  <c r="F750" i="6"/>
  <c r="I750" i="6" s="1"/>
  <c r="F751" i="6"/>
  <c r="I751" i="6" s="1"/>
  <c r="F752" i="6"/>
  <c r="I752" i="6" s="1"/>
  <c r="F753" i="6"/>
  <c r="I753" i="6" s="1"/>
  <c r="F754" i="6"/>
  <c r="I754" i="6" s="1"/>
  <c r="F755" i="6"/>
  <c r="I755" i="6" s="1"/>
  <c r="F756" i="6"/>
  <c r="I756" i="6" s="1"/>
  <c r="F757" i="6"/>
  <c r="I757" i="6" s="1"/>
  <c r="F758" i="6"/>
  <c r="I758" i="6" s="1"/>
  <c r="F759" i="6"/>
  <c r="I759" i="6" s="1"/>
  <c r="F760" i="6"/>
  <c r="I760" i="6" s="1"/>
  <c r="F761" i="6"/>
  <c r="I761" i="6" s="1"/>
  <c r="F762" i="6"/>
  <c r="I762" i="6" s="1"/>
  <c r="F763" i="6"/>
  <c r="I763" i="6" s="1"/>
  <c r="F764" i="6"/>
  <c r="I764" i="6" s="1"/>
  <c r="F765" i="6"/>
  <c r="I765" i="6" s="1"/>
  <c r="F766" i="6"/>
  <c r="I766" i="6" s="1"/>
  <c r="F767" i="6"/>
  <c r="I767" i="6" s="1"/>
  <c r="F768" i="6"/>
  <c r="I768" i="6" s="1"/>
  <c r="F769" i="6"/>
  <c r="I769" i="6" s="1"/>
  <c r="F770" i="6"/>
  <c r="I770" i="6" s="1"/>
  <c r="F771" i="6"/>
  <c r="I771" i="6" s="1"/>
  <c r="F772" i="6"/>
  <c r="I772" i="6" s="1"/>
  <c r="F773" i="6"/>
  <c r="I773" i="6" s="1"/>
  <c r="F774" i="6"/>
  <c r="I774" i="6" s="1"/>
  <c r="F775" i="6"/>
  <c r="I775" i="6" s="1"/>
  <c r="F776" i="6"/>
  <c r="I776" i="6" s="1"/>
  <c r="F777" i="6"/>
  <c r="I777" i="6" s="1"/>
  <c r="F778" i="6"/>
  <c r="I778" i="6" s="1"/>
  <c r="F779" i="6"/>
  <c r="I779" i="6" s="1"/>
  <c r="F780" i="6"/>
  <c r="I780" i="6" s="1"/>
  <c r="F781" i="6"/>
  <c r="I781" i="6" s="1"/>
  <c r="F782" i="6"/>
  <c r="I782" i="6" s="1"/>
  <c r="F783" i="6"/>
  <c r="I783" i="6" s="1"/>
  <c r="F784" i="6"/>
  <c r="I784" i="6" s="1"/>
  <c r="F785" i="6"/>
  <c r="I785" i="6" s="1"/>
  <c r="F786" i="6"/>
  <c r="I786" i="6" s="1"/>
  <c r="F787" i="6"/>
  <c r="I787" i="6" s="1"/>
  <c r="F788" i="6"/>
  <c r="I788" i="6" s="1"/>
  <c r="F789" i="6"/>
  <c r="I789" i="6" s="1"/>
  <c r="F790" i="6"/>
  <c r="I790" i="6" s="1"/>
  <c r="F791" i="6"/>
  <c r="I791" i="6" s="1"/>
  <c r="F792" i="6"/>
  <c r="I792" i="6" s="1"/>
  <c r="F793" i="6"/>
  <c r="I793" i="6" s="1"/>
  <c r="F794" i="6"/>
  <c r="I794" i="6" s="1"/>
  <c r="F795" i="6"/>
  <c r="I795" i="6" s="1"/>
  <c r="F796" i="6"/>
  <c r="I796" i="6" s="1"/>
  <c r="F797" i="6"/>
  <c r="I797" i="6" s="1"/>
  <c r="F798" i="6"/>
  <c r="I798" i="6" s="1"/>
  <c r="F799" i="6"/>
  <c r="I799" i="6" s="1"/>
  <c r="F800" i="6"/>
  <c r="I800" i="6" s="1"/>
  <c r="F801" i="6"/>
  <c r="I801" i="6" s="1"/>
  <c r="F802" i="6"/>
  <c r="I802" i="6" s="1"/>
  <c r="F803" i="6"/>
  <c r="I803" i="6" s="1"/>
  <c r="F804" i="6"/>
  <c r="I804" i="6" s="1"/>
  <c r="F805" i="6"/>
  <c r="I805" i="6" s="1"/>
  <c r="F806" i="6"/>
  <c r="I806" i="6" s="1"/>
  <c r="F807" i="6"/>
  <c r="I807" i="6" s="1"/>
  <c r="F808" i="6"/>
  <c r="I808" i="6" s="1"/>
  <c r="F809" i="6"/>
  <c r="I809" i="6" s="1"/>
  <c r="F810" i="6"/>
  <c r="I810" i="6" s="1"/>
  <c r="F811" i="6"/>
  <c r="I811" i="6" s="1"/>
  <c r="F812" i="6"/>
  <c r="I812" i="6" s="1"/>
  <c r="F813" i="6"/>
  <c r="I813" i="6" s="1"/>
  <c r="F814" i="6"/>
  <c r="I814" i="6" s="1"/>
  <c r="F815" i="6"/>
  <c r="I815" i="6" s="1"/>
  <c r="F816" i="6"/>
  <c r="I816" i="6" s="1"/>
  <c r="F817" i="6"/>
  <c r="I817" i="6" s="1"/>
  <c r="F818" i="6"/>
  <c r="I818" i="6" s="1"/>
  <c r="F819" i="6"/>
  <c r="I819" i="6" s="1"/>
  <c r="F820" i="6"/>
  <c r="I820" i="6" s="1"/>
  <c r="F821" i="6"/>
  <c r="I821" i="6" s="1"/>
  <c r="F822" i="6"/>
  <c r="I822" i="6" s="1"/>
  <c r="F823" i="6"/>
  <c r="I823" i="6" s="1"/>
  <c r="F824" i="6"/>
  <c r="I824" i="6" s="1"/>
  <c r="F825" i="6"/>
  <c r="I825" i="6" s="1"/>
  <c r="F826" i="6"/>
  <c r="I826" i="6" s="1"/>
  <c r="F827" i="6"/>
  <c r="I827" i="6" s="1"/>
  <c r="F828" i="6"/>
  <c r="I828" i="6" s="1"/>
  <c r="F829" i="6"/>
  <c r="I829" i="6" s="1"/>
  <c r="F830" i="6"/>
  <c r="I830" i="6" s="1"/>
  <c r="F831" i="6"/>
  <c r="I831" i="6" s="1"/>
  <c r="F832" i="6"/>
  <c r="I832" i="6" s="1"/>
  <c r="F833" i="6"/>
  <c r="I833" i="6" s="1"/>
  <c r="F834" i="6"/>
  <c r="I834" i="6" s="1"/>
  <c r="F835" i="6"/>
  <c r="I835" i="6" s="1"/>
  <c r="F836" i="6"/>
  <c r="I836" i="6" s="1"/>
  <c r="F837" i="6"/>
  <c r="I837" i="6" s="1"/>
  <c r="F838" i="6"/>
  <c r="I838" i="6" s="1"/>
  <c r="F839" i="6"/>
  <c r="I839" i="6" s="1"/>
  <c r="F840" i="6"/>
  <c r="I840" i="6" s="1"/>
  <c r="F841" i="6"/>
  <c r="I841" i="6" s="1"/>
  <c r="F842" i="6"/>
  <c r="I842" i="6" s="1"/>
  <c r="F843" i="6"/>
  <c r="I843" i="6" s="1"/>
  <c r="F844" i="6"/>
  <c r="I844" i="6" s="1"/>
  <c r="F845" i="6"/>
  <c r="I845" i="6" s="1"/>
  <c r="F846" i="6"/>
  <c r="I846" i="6" s="1"/>
  <c r="F847" i="6"/>
  <c r="I847" i="6" s="1"/>
  <c r="F848" i="6"/>
  <c r="I848" i="6" s="1"/>
  <c r="F849" i="6"/>
  <c r="I849" i="6" s="1"/>
  <c r="F850" i="6"/>
  <c r="I850" i="6" s="1"/>
  <c r="F851" i="6"/>
  <c r="I851" i="6" s="1"/>
  <c r="F852" i="6"/>
  <c r="I852" i="6" s="1"/>
  <c r="F853" i="6"/>
  <c r="I853" i="6" s="1"/>
  <c r="F854" i="6"/>
  <c r="I854" i="6" s="1"/>
  <c r="F855" i="6"/>
  <c r="I855" i="6" s="1"/>
  <c r="F856" i="6"/>
  <c r="I856" i="6" s="1"/>
  <c r="F857" i="6"/>
  <c r="I857" i="6" s="1"/>
  <c r="F858" i="6"/>
  <c r="I858" i="6" s="1"/>
  <c r="F859" i="6"/>
  <c r="I859" i="6" s="1"/>
  <c r="F860" i="6"/>
  <c r="I860" i="6" s="1"/>
  <c r="F861" i="6"/>
  <c r="I861" i="6" s="1"/>
  <c r="F862" i="6"/>
  <c r="I862" i="6" s="1"/>
  <c r="F863" i="6"/>
  <c r="I863" i="6" s="1"/>
  <c r="F864" i="6"/>
  <c r="I864" i="6" s="1"/>
  <c r="F865" i="6"/>
  <c r="I865" i="6" s="1"/>
  <c r="F866" i="6"/>
  <c r="I866" i="6" s="1"/>
  <c r="F867" i="6"/>
  <c r="I867" i="6" s="1"/>
  <c r="F868" i="6"/>
  <c r="I868" i="6" s="1"/>
  <c r="F869" i="6"/>
  <c r="I869" i="6" s="1"/>
  <c r="F870" i="6"/>
  <c r="I870" i="6" s="1"/>
  <c r="F871" i="6"/>
  <c r="I871" i="6" s="1"/>
  <c r="F872" i="6"/>
  <c r="I872" i="6" s="1"/>
  <c r="F873" i="6"/>
  <c r="I873" i="6" s="1"/>
  <c r="F874" i="6"/>
  <c r="I874" i="6" s="1"/>
  <c r="F875" i="6"/>
  <c r="I875" i="6" s="1"/>
  <c r="F876" i="6"/>
  <c r="I876" i="6" s="1"/>
  <c r="F877" i="6"/>
  <c r="I877" i="6" s="1"/>
  <c r="F878" i="6"/>
  <c r="I878" i="6" s="1"/>
  <c r="F879" i="6"/>
  <c r="I879" i="6" s="1"/>
  <c r="F880" i="6"/>
  <c r="I880" i="6" s="1"/>
  <c r="F881" i="6"/>
  <c r="I881" i="6" s="1"/>
  <c r="F882" i="6"/>
  <c r="I882" i="6" s="1"/>
  <c r="F883" i="6"/>
  <c r="I883" i="6" s="1"/>
  <c r="F884" i="6"/>
  <c r="I884" i="6" s="1"/>
  <c r="F885" i="6"/>
  <c r="I885" i="6" s="1"/>
  <c r="F886" i="6"/>
  <c r="I886" i="6" s="1"/>
  <c r="F887" i="6"/>
  <c r="I887" i="6" s="1"/>
  <c r="F888" i="6"/>
  <c r="I888" i="6" s="1"/>
  <c r="F889" i="6"/>
  <c r="I889" i="6" s="1"/>
  <c r="F890" i="6"/>
  <c r="I890" i="6" s="1"/>
  <c r="F891" i="6"/>
  <c r="I891" i="6" s="1"/>
  <c r="F892" i="6"/>
  <c r="I892" i="6" s="1"/>
  <c r="F893" i="6"/>
  <c r="I893" i="6" s="1"/>
  <c r="F894" i="6"/>
  <c r="I894" i="6" s="1"/>
  <c r="F895" i="6"/>
  <c r="I895" i="6" s="1"/>
  <c r="F896" i="6"/>
  <c r="I896" i="6" s="1"/>
  <c r="F897" i="6"/>
  <c r="I897" i="6" s="1"/>
  <c r="F898" i="6"/>
  <c r="I898" i="6" s="1"/>
  <c r="F899" i="6"/>
  <c r="I899" i="6" s="1"/>
  <c r="F900" i="6"/>
  <c r="I900" i="6" s="1"/>
  <c r="F901" i="6"/>
  <c r="I901" i="6" s="1"/>
  <c r="F902" i="6"/>
  <c r="I902" i="6" s="1"/>
  <c r="F903" i="6"/>
  <c r="I903" i="6" s="1"/>
  <c r="F904" i="6"/>
  <c r="I904" i="6" s="1"/>
  <c r="F905" i="6"/>
  <c r="I905" i="6" s="1"/>
  <c r="F906" i="6"/>
  <c r="I906" i="6" s="1"/>
  <c r="F907" i="6"/>
  <c r="I907" i="6" s="1"/>
  <c r="F908" i="6"/>
  <c r="I908" i="6" s="1"/>
  <c r="F909" i="6"/>
  <c r="I909" i="6" s="1"/>
  <c r="F910" i="6"/>
  <c r="I910" i="6" s="1"/>
  <c r="F911" i="6"/>
  <c r="I911" i="6" s="1"/>
  <c r="F912" i="6"/>
  <c r="I912" i="6" s="1"/>
  <c r="F913" i="6"/>
  <c r="I913" i="6" s="1"/>
  <c r="F914" i="6"/>
  <c r="I914" i="6" s="1"/>
  <c r="F915" i="6"/>
  <c r="I915" i="6" s="1"/>
  <c r="F916" i="6"/>
  <c r="I916" i="6" s="1"/>
  <c r="F917" i="6"/>
  <c r="I917" i="6" s="1"/>
  <c r="F918" i="6"/>
  <c r="I918" i="6" s="1"/>
  <c r="F919" i="6"/>
  <c r="I919" i="6" s="1"/>
  <c r="F920" i="6"/>
  <c r="I920" i="6" s="1"/>
  <c r="F921" i="6"/>
  <c r="I921" i="6" s="1"/>
  <c r="F922" i="6"/>
  <c r="I922" i="6" s="1"/>
  <c r="F923" i="6"/>
  <c r="I923" i="6" s="1"/>
  <c r="F924" i="6"/>
  <c r="I924" i="6" s="1"/>
  <c r="F925" i="6"/>
  <c r="I925" i="6" s="1"/>
  <c r="F926" i="6"/>
  <c r="I926" i="6" s="1"/>
  <c r="F927" i="6"/>
  <c r="I927" i="6" s="1"/>
  <c r="F928" i="6"/>
  <c r="I928" i="6" s="1"/>
  <c r="F929" i="6"/>
  <c r="I929" i="6" s="1"/>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F3" i="6"/>
  <c r="H3" i="6"/>
  <c r="I3" i="6" l="1"/>
  <c r="B3" i="6"/>
  <c r="F5" i="1" l="1"/>
  <c r="F6" i="1"/>
  <c r="F7" i="1"/>
  <c r="F8" i="1"/>
  <c r="F9" i="1"/>
  <c r="F4" i="1"/>
</calcChain>
</file>

<file path=xl/sharedStrings.xml><?xml version="1.0" encoding="utf-8"?>
<sst xmlns="http://schemas.openxmlformats.org/spreadsheetml/2006/main" count="226" uniqueCount="121">
  <si>
    <t>ANÁLISIS DE RIESGOS</t>
  </si>
  <si>
    <t>ACTIVO</t>
  </si>
  <si>
    <t>AMENAZA</t>
  </si>
  <si>
    <t>PROBABILIDAD</t>
  </si>
  <si>
    <t>IMPACTO</t>
  </si>
  <si>
    <t>RIESGO</t>
  </si>
  <si>
    <t>Servidor 01 (Contabilidad)</t>
  </si>
  <si>
    <t>Router Wifi (Clientes)</t>
  </si>
  <si>
    <t>Servidor 02 (Web)</t>
  </si>
  <si>
    <t>…</t>
  </si>
  <si>
    <t>La amenaza se materializa a lo sumo una vez cada año.</t>
  </si>
  <si>
    <t>La amenaza se materializa a lo sumo una vez cada mes.</t>
  </si>
  <si>
    <t>La amenaza se materializa a lo sumo una vez cada semana.</t>
  </si>
  <si>
    <t xml:space="preserve">El daño derivado de la materialización de la amenaza no tiene consecuencias relevantes para la organización. </t>
  </si>
  <si>
    <t>El daño derivado de la materialización de la amenaza tiene consecuencias reseñables para la organización.</t>
  </si>
  <si>
    <t xml:space="preserve">El daño derivado de la materialización de la amenaza tiene consecuencias graves reseñables para la organización. </t>
  </si>
  <si>
    <t>VALOR</t>
  </si>
  <si>
    <t>DESCRIPCIÓN</t>
  </si>
  <si>
    <t>TABLA PARA ESTIMAR LA PROBABILIDAD</t>
  </si>
  <si>
    <t>TABLA PARA ESTIMAR EL IMPACTO</t>
  </si>
  <si>
    <t>CRITERIOS DE ACEPTACIÓN DEL RIESGO</t>
  </si>
  <si>
    <t>RANGO</t>
  </si>
  <si>
    <t xml:space="preserve">La organización considera el riesgo poco reseñable. </t>
  </si>
  <si>
    <t xml:space="preserve"> </t>
  </si>
  <si>
    <t>La organización considera el riesgo reseñable y debe proceder a su tratamiento.</t>
  </si>
  <si>
    <t>Bajo (1)</t>
  </si>
  <si>
    <t>Medio (2)</t>
  </si>
  <si>
    <t>Alto (3)</t>
  </si>
  <si>
    <t>(Añadir a la tabla tantas filas como sea necesario)</t>
  </si>
  <si>
    <t>Fuego</t>
  </si>
  <si>
    <t>Daños por agua</t>
  </si>
  <si>
    <t>Desastres naturales</t>
  </si>
  <si>
    <t>Corte del suministro eléctrico</t>
  </si>
  <si>
    <t>Condiciones inadecuadas de temperatura o humedad</t>
  </si>
  <si>
    <t>Fallo de servicios de comunicaciones</t>
  </si>
  <si>
    <t>Interrupción de otros servicios y suministros esenciales</t>
  </si>
  <si>
    <t>Desastres industriales</t>
  </si>
  <si>
    <t>Errores de los usuarios</t>
  </si>
  <si>
    <t>Errores del administrador</t>
  </si>
  <si>
    <t>Errores de configuración</t>
  </si>
  <si>
    <t>Fuga de información</t>
  </si>
  <si>
    <t>Introducción de falsa información</t>
  </si>
  <si>
    <t>Alteración de la información</t>
  </si>
  <si>
    <t>Corrupción de la información</t>
  </si>
  <si>
    <t>Destrucción de información</t>
  </si>
  <si>
    <t>Interceptación de información (escucha)</t>
  </si>
  <si>
    <t>Degradación de los soportes de almacenamiento de la información</t>
  </si>
  <si>
    <t>Difusión de software dañino</t>
  </si>
  <si>
    <t>Errores de mantenimiento / actualización de programas (software)</t>
  </si>
  <si>
    <t>Errores de mantenimiento / actualización de equipos (hardware)</t>
  </si>
  <si>
    <t>Caída del sistema por sobrecarga</t>
  </si>
  <si>
    <t>Pérdida de equipos</t>
  </si>
  <si>
    <t>Indisponibilidad del personal</t>
  </si>
  <si>
    <t>Abuso de privilegios de acceso</t>
  </si>
  <si>
    <t>Acceso no autorizado</t>
  </si>
  <si>
    <t>Denegación de servicio</t>
  </si>
  <si>
    <t>Robo</t>
  </si>
  <si>
    <t>Extorsión</t>
  </si>
  <si>
    <t>Ingeniería social</t>
  </si>
  <si>
    <t>Amenazas</t>
  </si>
  <si>
    <r>
      <t xml:space="preserve">Riesgo &lt;= </t>
    </r>
    <r>
      <rPr>
        <sz val="11"/>
        <color indexed="10"/>
        <rFont val="Arial"/>
        <family val="2"/>
      </rPr>
      <t>4</t>
    </r>
  </si>
  <si>
    <r>
      <t xml:space="preserve">Riesgo &gt; </t>
    </r>
    <r>
      <rPr>
        <sz val="11"/>
        <color indexed="10"/>
        <rFont val="Arial"/>
        <family val="2"/>
      </rPr>
      <t>4</t>
    </r>
  </si>
  <si>
    <t>Activo</t>
  </si>
  <si>
    <t>Modelo A</t>
  </si>
  <si>
    <t>Modelo B</t>
  </si>
  <si>
    <t>Modelo C</t>
  </si>
  <si>
    <t>e-administración para su relación con las AAPP</t>
  </si>
  <si>
    <t xml:space="preserve">ordenadores e incluso algún servidor (web, correo electrónico,…) </t>
  </si>
  <si>
    <t>conexión a Internet con wifi</t>
  </si>
  <si>
    <t>dispositivos móviles con datos y apps para su trabajo</t>
  </si>
  <si>
    <t>herramienta(s) comercial(es) de gestión de negocio (CRM y ERP)</t>
  </si>
  <si>
    <t xml:space="preserve">página web / tienda online y redes sociales que gestionan desde la empresa </t>
  </si>
  <si>
    <t>herramientas para empresas en la nube</t>
  </si>
  <si>
    <t>ordenadores y conexión a Internet (con wifi)</t>
  </si>
  <si>
    <t xml:space="preserve">dispositivos móviles para telefonía y datos  </t>
  </si>
  <si>
    <r>
      <t xml:space="preserve">soluciones tecnológicas gratuitas para la gestión empresarial como correo electrónico, CRM e incluso herramientas colaborativas o de almacenamiento </t>
    </r>
    <r>
      <rPr>
        <i/>
        <sz val="11"/>
        <color theme="1"/>
        <rFont val="Arial"/>
        <family val="2"/>
      </rPr>
      <t>cloud</t>
    </r>
  </si>
  <si>
    <t>una página web sencilla alojada y gestionada por un proveedor externo</t>
  </si>
  <si>
    <t>ordenador(es)</t>
  </si>
  <si>
    <t>móvil(es) principalmente para telefonía</t>
  </si>
  <si>
    <t>conexión a Internet e incluso wifi</t>
  </si>
  <si>
    <t>SI</t>
  </si>
  <si>
    <t>NO</t>
  </si>
  <si>
    <t>Identificador</t>
  </si>
  <si>
    <t>A1</t>
  </si>
  <si>
    <t>B1</t>
  </si>
  <si>
    <t>C1</t>
  </si>
  <si>
    <t>A2</t>
  </si>
  <si>
    <t>A3</t>
  </si>
  <si>
    <t>B2</t>
  </si>
  <si>
    <t>B3</t>
  </si>
  <si>
    <t>B4</t>
  </si>
  <si>
    <t>C2</t>
  </si>
  <si>
    <t>C3</t>
  </si>
  <si>
    <t>C4</t>
  </si>
  <si>
    <t>C5</t>
  </si>
  <si>
    <t>C6</t>
  </si>
  <si>
    <t>C7</t>
  </si>
  <si>
    <t>Aplicación</t>
  </si>
  <si>
    <t>Amenaza</t>
  </si>
  <si>
    <t>Probabilidad</t>
  </si>
  <si>
    <t>Impacto</t>
  </si>
  <si>
    <t>Riesgo</t>
  </si>
  <si>
    <t>Amenaza/Activo</t>
  </si>
  <si>
    <t>1º</t>
  </si>
  <si>
    <t>DESCRIPCIÓN DE LA APLICACIÓN:</t>
  </si>
  <si>
    <t>La presente aplicación ha sido diseñada como herramienta para facilitar el análisis de riesgos solicitado en la actividad final del curso.</t>
  </si>
  <si>
    <t>A continuación se procederá a describir el contenido de cada hoja de la aplicación:</t>
  </si>
  <si>
    <r>
      <t>Hoja «</t>
    </r>
    <r>
      <rPr>
        <b/>
        <sz val="11"/>
        <color theme="1"/>
        <rFont val="Arial"/>
        <family val="2"/>
      </rPr>
      <t>Ejemplo de análisis</t>
    </r>
    <r>
      <rPr>
        <sz val="11"/>
        <color theme="1"/>
        <rFont val="Arial"/>
        <family val="2"/>
      </rPr>
      <t>»: contiene un ejemplo de análisis de riesgos que podrás utilizar como referencia para realizar la actividad.</t>
    </r>
  </si>
  <si>
    <r>
      <t>Hoja «</t>
    </r>
    <r>
      <rPr>
        <b/>
        <sz val="11"/>
        <color theme="1"/>
        <rFont val="Arial"/>
        <family val="2"/>
      </rPr>
      <t>Tablas AR</t>
    </r>
    <r>
      <rPr>
        <sz val="11"/>
        <color theme="1"/>
        <rFont val="Arial"/>
        <family val="2"/>
      </rPr>
      <t>»: incluye unas tablas orientativas para realizar las valoraciones de la probabilidad y el impacto según una escala de tres valores.</t>
    </r>
  </si>
  <si>
    <r>
      <t>Hoja «</t>
    </r>
    <r>
      <rPr>
        <b/>
        <sz val="11"/>
        <color theme="1"/>
        <rFont val="Arial"/>
        <family val="2"/>
      </rPr>
      <t>Catálogo amenazas</t>
    </r>
    <r>
      <rPr>
        <sz val="11"/>
        <color theme="1"/>
        <rFont val="Arial"/>
        <family val="2"/>
      </rPr>
      <t>»: refleja las principales amenazas a considerar en el ámbito de un análisis de riesgos.</t>
    </r>
  </si>
  <si>
    <r>
      <t>Hoja «</t>
    </r>
    <r>
      <rPr>
        <b/>
        <sz val="11"/>
        <color theme="1"/>
        <rFont val="Arial"/>
        <family val="2"/>
      </rPr>
      <t>Activos</t>
    </r>
    <r>
      <rPr>
        <sz val="11"/>
        <color theme="1"/>
        <rFont val="Arial"/>
        <family val="2"/>
      </rPr>
      <t>»: contiene un listado con los activos definidos para cada uno de los modelos de empresa propuestos en las instrucciones de la actividad final.</t>
    </r>
  </si>
  <si>
    <r>
      <t>Hoja «</t>
    </r>
    <r>
      <rPr>
        <b/>
        <sz val="11"/>
        <color theme="1"/>
        <rFont val="Arial"/>
        <family val="2"/>
      </rPr>
      <t>Cruces Activo-Amenaza</t>
    </r>
    <r>
      <rPr>
        <sz val="11"/>
        <color theme="1"/>
        <rFont val="Arial"/>
        <family val="2"/>
      </rPr>
      <t>»: se utilizará para especificar las amenazas que afectan a los activos del modelo elegido.</t>
    </r>
  </si>
  <si>
    <r>
      <t>Hoja «</t>
    </r>
    <r>
      <rPr>
        <b/>
        <sz val="11"/>
        <color theme="1"/>
        <rFont val="Arial"/>
        <family val="2"/>
      </rPr>
      <t>Análisis de Riesgos</t>
    </r>
    <r>
      <rPr>
        <sz val="11"/>
        <color theme="1"/>
        <rFont val="Arial"/>
        <family val="2"/>
      </rPr>
      <t>»: se utilizará para realizar el análisis de riesgos. Se debe indicar la probabilidad y el impacto de cada amenaza sobre cada uno de los activos.</t>
    </r>
  </si>
  <si>
    <t>w</t>
  </si>
  <si>
    <t>2º</t>
  </si>
  <si>
    <t>FUNCIONAMIENTO DE LA APLICACIÓN:</t>
  </si>
  <si>
    <t>INSTRUCCIONES PARA REALIZAR LA ACTIVIDAD FINAL</t>
  </si>
  <si>
    <r>
      <rPr>
        <b/>
        <sz val="11"/>
        <color theme="1"/>
        <rFont val="Arial"/>
        <family val="2"/>
      </rPr>
      <t>Paso 1</t>
    </r>
    <r>
      <rPr>
        <sz val="11"/>
        <color theme="1"/>
        <rFont val="Arial"/>
        <family val="2"/>
      </rPr>
      <t xml:space="preserve">: en la hoja </t>
    </r>
    <r>
      <rPr>
        <sz val="11"/>
        <color rgb="FFFF0000"/>
        <rFont val="Arial"/>
        <family val="2"/>
      </rPr>
      <t>«</t>
    </r>
    <r>
      <rPr>
        <b/>
        <sz val="11"/>
        <color rgb="FFFF0000"/>
        <rFont val="Arial"/>
        <family val="2"/>
      </rPr>
      <t>Activos</t>
    </r>
    <r>
      <rPr>
        <sz val="11"/>
        <color rgb="FFFF0000"/>
        <rFont val="Arial"/>
        <family val="2"/>
      </rPr>
      <t>»</t>
    </r>
    <r>
      <rPr>
        <sz val="11"/>
        <color theme="1"/>
        <rFont val="Arial"/>
        <family val="2"/>
      </rPr>
      <t xml:space="preserve"> existe una columna llamada «aplicación». Esta columna contiene una lista de dos opciones (SI/NO). Hay que rellenar con «SI» los activos que se apliquen dependiendo del modelo de empresa elegido (el resto se dejarán en blanco o se rellenarán con «NO»).</t>
    </r>
  </si>
  <si>
    <r>
      <rPr>
        <b/>
        <sz val="11"/>
        <color theme="1"/>
        <rFont val="Arial"/>
        <family val="2"/>
      </rPr>
      <t>Paso 2</t>
    </r>
    <r>
      <rPr>
        <sz val="11"/>
        <color theme="1"/>
        <rFont val="Arial"/>
        <family val="2"/>
      </rPr>
      <t xml:space="preserve">: en la hoja </t>
    </r>
    <r>
      <rPr>
        <b/>
        <sz val="11"/>
        <color theme="3"/>
        <rFont val="Arial"/>
        <family val="2"/>
      </rPr>
      <t xml:space="preserve">«Cruces Activo-Amenaza» </t>
    </r>
    <r>
      <rPr>
        <b/>
        <sz val="11"/>
        <rFont val="Arial"/>
        <family val="2"/>
      </rPr>
      <t>s</t>
    </r>
    <r>
      <rPr>
        <sz val="11"/>
        <rFont val="Arial"/>
        <family val="2"/>
      </rPr>
      <t>e mue</t>
    </r>
    <r>
      <rPr>
        <sz val="11"/>
        <color theme="1"/>
        <rFont val="Arial"/>
        <family val="2"/>
      </rPr>
      <t xml:space="preserve">stra en la primera columna todas las amenazas y en la primera fila los indicadores de activos (que se corresponden con los de la hoja «Activos»). El objetivo de esta hoja es incluir un «SI» (igual que en el paso 1) en los cruces entre activo y amenaza para que después se muestren automáticamente en la hoja «Análisis de Riesgos». </t>
    </r>
  </si>
  <si>
    <r>
      <rPr>
        <b/>
        <sz val="11"/>
        <color theme="1"/>
        <rFont val="Arial"/>
        <family val="2"/>
      </rPr>
      <t>Paso 3</t>
    </r>
    <r>
      <rPr>
        <sz val="11"/>
        <color theme="1"/>
        <rFont val="Arial"/>
        <family val="2"/>
      </rPr>
      <t xml:space="preserve">: en la hoja </t>
    </r>
    <r>
      <rPr>
        <b/>
        <sz val="11"/>
        <color theme="6" tint="-0.499984740745262"/>
        <rFont val="Arial"/>
        <family val="2"/>
      </rPr>
      <t xml:space="preserve">«Análisis de Riesgos» </t>
    </r>
    <r>
      <rPr>
        <sz val="11"/>
        <rFont val="Arial"/>
        <family val="2"/>
      </rPr>
      <t>se debe pulsar el</t>
    </r>
    <r>
      <rPr>
        <sz val="11"/>
        <color theme="1"/>
        <rFont val="Arial"/>
        <family val="2"/>
      </rPr>
      <t xml:space="preserve"> botón «Mostrar activos» (en la esquina superior izquierda). Este botón mostrará automáticamente todos los activos elegidos, con cada una de las amenazas asociadas a dichos activos.</t>
    </r>
  </si>
  <si>
    <r>
      <rPr>
        <b/>
        <sz val="11"/>
        <color theme="1"/>
        <rFont val="Arial"/>
        <family val="2"/>
      </rPr>
      <t>Paso 4</t>
    </r>
    <r>
      <rPr>
        <sz val="11"/>
        <color theme="1"/>
        <rFont val="Arial"/>
        <family val="2"/>
      </rPr>
      <t xml:space="preserve">: en la hoja </t>
    </r>
    <r>
      <rPr>
        <b/>
        <sz val="11"/>
        <color theme="6" tint="-0.499984740745262"/>
        <rFont val="Arial"/>
        <family val="2"/>
      </rPr>
      <t xml:space="preserve">«Análisis de Riesgos» </t>
    </r>
    <r>
      <rPr>
        <sz val="11"/>
        <color theme="1"/>
        <rFont val="Arial"/>
        <family val="2"/>
      </rPr>
      <t>se debe elegir la probabilidad y el impacto de cada amenaza sobre cada activo (se trata otra vez de una lista, pero con tres posibilidades  (Bajo(1), Medio(2), Alto (3)). Una vez seleccionados se mostrara en la columna riesgos un número que representa el riesgo acorde a la tabla de la hoja «Tablas AR» y el fondo de la casilla del color correspondiente.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</si>
</sst>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0"/>
      <color indexed="8"/>
      <name val="Arial"/>
      <family val="2"/>
    </font>
    <font>
      <b/>
      <sz val="12"/>
      <color indexed="8"/>
      <name val="Arial"/>
      <family val="2"/>
    </font>
    <font>
      <sz val="11"/>
      <color indexed="10"/>
      <name val="Arial"/>
      <family val="2"/>
    </font>
    <font>
      <sz val="12"/>
      <name val="Arial"/>
      <family val="2"/>
    </font>
    <font>
      <sz val="11"/>
      <color theme="1"/>
      <name val="Arial"/>
      <family val="2"/>
    </font>
    <font>
      <b/>
      <sz val="14"/>
      <color theme="0"/>
      <name val="Arial"/>
      <family val="2"/>
    </font>
    <font>
      <sz val="12"/>
      <color theme="1"/>
      <name val="Arial"/>
      <family val="2"/>
    </font>
    <font>
      <i/>
      <sz val="12"/>
      <color theme="1"/>
      <name val="Arial"/>
      <family val="2"/>
    </font>
    <font>
      <i/>
      <sz val="11"/>
      <color theme="1"/>
      <name val="Arial"/>
      <family val="2"/>
    </font>
    <font>
      <sz val="11"/>
      <color theme="0"/>
      <name val="Calibri"/>
      <family val="2"/>
      <scheme val="minor"/>
    </font>
    <font>
      <b/>
      <sz val="11"/>
      <color theme="0"/>
      <name val="Arial"/>
      <family val="2"/>
    </font>
    <font>
      <b/>
      <sz val="11"/>
      <color theme="1"/>
      <name val="Arial"/>
      <family val="2"/>
    </font>
    <font>
      <b/>
      <sz val="14"/>
      <color rgb="FFFF0000"/>
      <name val="Arial"/>
      <family val="2"/>
    </font>
    <font>
      <b/>
      <sz val="14"/>
      <color theme="0" tint="-0.499984740745262"/>
      <name val="Arial"/>
      <family val="2"/>
    </font>
    <font>
      <b/>
      <sz val="11"/>
      <color rgb="FFFF0000"/>
      <name val="Wingdings"/>
      <charset val="2"/>
    </font>
    <font>
      <b/>
      <sz val="11"/>
      <color rgb="FFFF0000"/>
      <name val="Arial"/>
      <family val="2"/>
    </font>
    <font>
      <sz val="11"/>
      <color rgb="FFFF0000"/>
      <name val="Arial"/>
      <family val="2"/>
    </font>
    <font>
      <b/>
      <sz val="16"/>
      <color rgb="FFFF0000"/>
      <name val="Arial"/>
      <family val="2"/>
    </font>
    <font>
      <b/>
      <sz val="11"/>
      <color theme="3"/>
      <name val="Arial"/>
      <family val="2"/>
    </font>
    <font>
      <b/>
      <sz val="11"/>
      <name val="Arial"/>
      <family val="2"/>
    </font>
    <font>
      <sz val="11"/>
      <name val="Arial"/>
      <family val="2"/>
    </font>
    <font>
      <b/>
      <sz val="11"/>
      <color theme="6" tint="-0.499984740745262"/>
      <name val="Arial"/>
      <family val="2"/>
    </font>
  </fonts>
  <fills count="1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E62C0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patternFill>
    </fill>
    <fill>
      <patternFill patternType="solid">
        <fgColor theme="8"/>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FFFF66"/>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ck">
        <color indexed="64"/>
      </right>
      <top style="thick">
        <color indexed="64"/>
      </top>
      <bottom style="thick">
        <color indexed="64"/>
      </bottom>
      <diagonal/>
    </border>
    <border>
      <left/>
      <right/>
      <top/>
      <bottom style="medium">
        <color rgb="FFFF0000"/>
      </bottom>
      <diagonal/>
    </border>
    <border>
      <left style="thick">
        <color theme="0" tint="-0.499984740745262"/>
      </left>
      <right/>
      <top style="thick">
        <color theme="0" tint="-0.499984740745262"/>
      </top>
      <bottom/>
      <diagonal/>
    </border>
    <border>
      <left/>
      <right/>
      <top style="thick">
        <color theme="0" tint="-0.499984740745262"/>
      </top>
      <bottom/>
      <diagonal/>
    </border>
    <border>
      <left/>
      <right style="thick">
        <color theme="0" tint="-0.499984740745262"/>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top/>
      <bottom style="thick">
        <color theme="0" tint="-0.499984740745262"/>
      </bottom>
      <diagonal/>
    </border>
    <border>
      <left/>
      <right/>
      <top/>
      <bottom style="thick">
        <color theme="0" tint="-0.499984740745262"/>
      </bottom>
      <diagonal/>
    </border>
    <border>
      <left/>
      <right style="thick">
        <color theme="0" tint="-0.499984740745262"/>
      </right>
      <top/>
      <bottom style="thick">
        <color theme="0" tint="-0.499984740745262"/>
      </bottom>
      <diagonal/>
    </border>
  </borders>
  <cellStyleXfs count="4">
    <xf numFmtId="0" fontId="0" fillId="0" borderId="0"/>
    <xf numFmtId="0" fontId="1" fillId="0" borderId="0"/>
    <xf numFmtId="0" fontId="10" fillId="11" borderId="0" applyNumberFormat="0" applyBorder="0" applyAlignment="0" applyProtection="0"/>
    <xf numFmtId="0" fontId="10" fillId="12" borderId="0" applyNumberFormat="0" applyBorder="0" applyAlignment="0" applyProtection="0"/>
  </cellStyleXfs>
  <cellXfs count="93">
    <xf numFmtId="0" fontId="0" fillId="0" borderId="0" xfId="0"/>
    <xf numFmtId="0" fontId="5" fillId="2" borderId="1" xfId="0" applyFont="1" applyFill="1" applyBorder="1" applyAlignment="1">
      <alignment horizontal="center" vertical="center"/>
    </xf>
    <xf numFmtId="0" fontId="5" fillId="2" borderId="0" xfId="0" applyFont="1" applyFill="1" applyAlignment="1">
      <alignment vertical="center"/>
    </xf>
    <xf numFmtId="0" fontId="5" fillId="3" borderId="0" xfId="0" applyFont="1" applyFill="1" applyBorder="1" applyAlignment="1">
      <alignment vertical="center"/>
    </xf>
    <xf numFmtId="0" fontId="5" fillId="2" borderId="0" xfId="0" applyFont="1" applyFill="1" applyBorder="1" applyAlignment="1">
      <alignment vertical="center"/>
    </xf>
    <xf numFmtId="0" fontId="5" fillId="4" borderId="0" xfId="0" applyFont="1" applyFill="1" applyBorder="1" applyAlignment="1">
      <alignment vertical="center"/>
    </xf>
    <xf numFmtId="0" fontId="6" fillId="5" borderId="0" xfId="0" applyFont="1" applyFill="1" applyBorder="1" applyAlignment="1">
      <alignment horizontal="center" vertical="center"/>
    </xf>
    <xf numFmtId="0" fontId="5" fillId="2" borderId="0" xfId="0" applyFont="1" applyFill="1" applyBorder="1" applyAlignment="1">
      <alignment horizontal="center" vertical="center"/>
    </xf>
    <xf numFmtId="0" fontId="2" fillId="6" borderId="2" xfId="1"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6" fontId="5" fillId="2" borderId="1" xfId="0" applyNumberFormat="1" applyFont="1" applyFill="1" applyBorder="1" applyAlignment="1">
      <alignment horizontal="center" vertical="center"/>
    </xf>
    <xf numFmtId="0" fontId="4" fillId="2" borderId="1" xfId="0" applyFont="1" applyFill="1" applyBorder="1" applyAlignment="1">
      <alignment vertical="center"/>
    </xf>
    <xf numFmtId="0" fontId="7" fillId="2" borderId="1" xfId="0" applyFont="1" applyFill="1" applyBorder="1" applyAlignment="1">
      <alignment vertical="center" wrapText="1"/>
    </xf>
    <xf numFmtId="0" fontId="4" fillId="2" borderId="1" xfId="0" applyFont="1" applyFill="1" applyBorder="1" applyAlignment="1">
      <alignment horizontal="center" vertical="center"/>
    </xf>
    <xf numFmtId="0" fontId="7" fillId="2" borderId="1" xfId="0" applyFont="1" applyFill="1" applyBorder="1" applyAlignment="1">
      <alignment vertical="center"/>
    </xf>
    <xf numFmtId="0" fontId="7" fillId="2" borderId="1" xfId="0" applyFont="1" applyFill="1" applyBorder="1" applyAlignment="1">
      <alignment horizontal="center" vertical="center"/>
    </xf>
    <xf numFmtId="0" fontId="7" fillId="2" borderId="1" xfId="0" applyNumberFormat="1" applyFont="1" applyFill="1" applyBorder="1" applyAlignment="1">
      <alignment vertical="center"/>
    </xf>
    <xf numFmtId="0" fontId="8" fillId="2" borderId="1" xfId="0" applyFont="1" applyFill="1" applyBorder="1" applyAlignment="1">
      <alignment horizontal="center" vertical="center"/>
    </xf>
    <xf numFmtId="0" fontId="5" fillId="0" borderId="0" xfId="0" applyFont="1" applyAlignment="1">
      <alignment wrapText="1"/>
    </xf>
    <xf numFmtId="0" fontId="5" fillId="7" borderId="0" xfId="0" applyFont="1" applyFill="1" applyBorder="1" applyAlignment="1">
      <alignment vertical="center"/>
    </xf>
    <xf numFmtId="0" fontId="5" fillId="8" borderId="0" xfId="0" applyFont="1" applyFill="1" applyBorder="1" applyAlignment="1">
      <alignment vertical="center"/>
    </xf>
    <xf numFmtId="0" fontId="5" fillId="10" borderId="0" xfId="0" applyFont="1" applyFill="1" applyBorder="1" applyAlignment="1">
      <alignment vertical="center"/>
    </xf>
    <xf numFmtId="0" fontId="5" fillId="9" borderId="0" xfId="0" applyFont="1" applyFill="1" applyBorder="1" applyAlignment="1">
      <alignment vertical="center"/>
    </xf>
    <xf numFmtId="0" fontId="0" fillId="0" borderId="0" xfId="0" applyProtection="1">
      <protection locked="0"/>
    </xf>
    <xf numFmtId="0" fontId="0" fillId="0" borderId="0" xfId="0" applyProtection="1"/>
    <xf numFmtId="0" fontId="0" fillId="0" borderId="0" xfId="0" applyAlignment="1" applyProtection="1">
      <alignment wrapText="1"/>
    </xf>
    <xf numFmtId="0" fontId="5" fillId="0" borderId="1" xfId="0" applyFont="1" applyBorder="1" applyAlignment="1">
      <alignment vertical="center" wrapText="1"/>
    </xf>
    <xf numFmtId="0" fontId="5" fillId="0" borderId="1" xfId="0" applyFont="1" applyBorder="1" applyAlignment="1">
      <alignment horizontal="left" vertical="center" wrapText="1"/>
    </xf>
    <xf numFmtId="0" fontId="5" fillId="0" borderId="8" xfId="0" applyFont="1" applyBorder="1" applyAlignment="1">
      <alignment vertical="center" wrapText="1"/>
    </xf>
    <xf numFmtId="0" fontId="5" fillId="0" borderId="13" xfId="0" applyFont="1" applyBorder="1" applyAlignment="1">
      <alignment wrapText="1"/>
    </xf>
    <xf numFmtId="0" fontId="5" fillId="0" borderId="0" xfId="0" applyFont="1"/>
    <xf numFmtId="0" fontId="12" fillId="0" borderId="15" xfId="0" applyFont="1" applyBorder="1" applyAlignment="1">
      <alignment horizontal="center"/>
    </xf>
    <xf numFmtId="0" fontId="12" fillId="0" borderId="15" xfId="0" applyFont="1" applyBorder="1" applyAlignment="1">
      <alignment horizontal="center" wrapText="1"/>
    </xf>
    <xf numFmtId="0" fontId="5" fillId="0" borderId="8" xfId="0" applyFont="1" applyBorder="1" applyAlignment="1">
      <alignment horizontal="center"/>
    </xf>
    <xf numFmtId="0" fontId="5" fillId="0" borderId="1" xfId="0" applyFont="1" applyBorder="1" applyAlignment="1">
      <alignment horizontal="center"/>
    </xf>
    <xf numFmtId="0" fontId="5" fillId="0" borderId="13" xfId="0" applyFont="1" applyBorder="1" applyAlignment="1">
      <alignment horizontal="center"/>
    </xf>
    <xf numFmtId="0" fontId="5" fillId="16" borderId="9" xfId="0" applyFont="1" applyFill="1" applyBorder="1" applyAlignment="1" applyProtection="1">
      <alignment horizontal="center"/>
      <protection locked="0"/>
    </xf>
    <xf numFmtId="0" fontId="5" fillId="16" borderId="11" xfId="0" applyFont="1" applyFill="1" applyBorder="1" applyAlignment="1" applyProtection="1">
      <alignment horizontal="center"/>
      <protection locked="0"/>
    </xf>
    <xf numFmtId="0" fontId="5" fillId="16" borderId="14" xfId="0" applyFont="1" applyFill="1" applyBorder="1" applyAlignment="1" applyProtection="1">
      <alignment horizontal="center"/>
      <protection locked="0"/>
    </xf>
    <xf numFmtId="0" fontId="5" fillId="14" borderId="9" xfId="0" applyFont="1" applyFill="1" applyBorder="1" applyAlignment="1" applyProtection="1">
      <alignment horizontal="center"/>
      <protection locked="0"/>
    </xf>
    <xf numFmtId="0" fontId="5" fillId="14" borderId="11" xfId="0" applyFont="1" applyFill="1" applyBorder="1" applyAlignment="1" applyProtection="1">
      <alignment horizontal="center"/>
      <protection locked="0"/>
    </xf>
    <xf numFmtId="0" fontId="5" fillId="14" borderId="14" xfId="0" applyFont="1" applyFill="1" applyBorder="1" applyAlignment="1" applyProtection="1">
      <alignment horizontal="center"/>
      <protection locked="0"/>
    </xf>
    <xf numFmtId="0" fontId="5" fillId="17" borderId="9" xfId="0" applyFont="1" applyFill="1" applyBorder="1" applyAlignment="1" applyProtection="1">
      <alignment horizontal="center"/>
      <protection locked="0"/>
    </xf>
    <xf numFmtId="0" fontId="5" fillId="17" borderId="11" xfId="0" applyFont="1" applyFill="1" applyBorder="1" applyAlignment="1" applyProtection="1">
      <alignment horizontal="center"/>
      <protection locked="0"/>
    </xf>
    <xf numFmtId="0" fontId="5" fillId="17" borderId="14" xfId="0" applyFont="1" applyFill="1" applyBorder="1" applyAlignment="1" applyProtection="1">
      <alignment horizontal="center"/>
      <protection locked="0"/>
    </xf>
    <xf numFmtId="0" fontId="5" fillId="0" borderId="0" xfId="0" applyFont="1" applyBorder="1"/>
    <xf numFmtId="0" fontId="5" fillId="0" borderId="0" xfId="0" applyFont="1" applyAlignment="1">
      <alignment vertical="center"/>
    </xf>
    <xf numFmtId="0" fontId="5" fillId="0" borderId="0" xfId="0" applyFont="1" applyAlignment="1">
      <alignment vertical="top"/>
    </xf>
    <xf numFmtId="0" fontId="15" fillId="0" borderId="0" xfId="0" applyFont="1" applyAlignment="1">
      <alignment horizontal="center" vertical="center"/>
    </xf>
    <xf numFmtId="0" fontId="16" fillId="0" borderId="16" xfId="0" applyFont="1" applyBorder="1"/>
    <xf numFmtId="0" fontId="5" fillId="0" borderId="16" xfId="0" applyFont="1" applyBorder="1"/>
    <xf numFmtId="0" fontId="15" fillId="0" borderId="0" xfId="0" applyFont="1" applyAlignment="1">
      <alignment horizontal="center" vertical="top"/>
    </xf>
    <xf numFmtId="0" fontId="13" fillId="0" borderId="0" xfId="0" applyFont="1" applyBorder="1" applyAlignment="1">
      <alignment vertical="center"/>
    </xf>
    <xf numFmtId="0" fontId="5" fillId="0" borderId="17" xfId="0" applyFont="1" applyBorder="1"/>
    <xf numFmtId="0" fontId="5" fillId="0" borderId="18" xfId="0" applyFont="1" applyBorder="1"/>
    <xf numFmtId="0" fontId="5" fillId="0" borderId="20" xfId="0" applyFont="1" applyBorder="1"/>
    <xf numFmtId="0" fontId="5" fillId="0" borderId="22" xfId="0" applyFont="1" applyBorder="1"/>
    <xf numFmtId="0" fontId="5" fillId="0" borderId="23" xfId="0" applyFont="1" applyBorder="1"/>
    <xf numFmtId="0" fontId="14" fillId="0" borderId="23" xfId="0" applyFont="1" applyBorder="1" applyAlignment="1">
      <alignment vertical="center"/>
    </xf>
    <xf numFmtId="0" fontId="16" fillId="0" borderId="0" xfId="0" applyFont="1" applyBorder="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top" wrapText="1"/>
    </xf>
    <xf numFmtId="0" fontId="18" fillId="0" borderId="18" xfId="0" applyFont="1" applyBorder="1" applyAlignment="1">
      <alignment horizontal="center" vertical="center"/>
    </xf>
    <xf numFmtId="0" fontId="18" fillId="0" borderId="19" xfId="0" applyFont="1" applyBorder="1" applyAlignment="1">
      <alignment horizontal="center" vertical="center"/>
    </xf>
    <xf numFmtId="0" fontId="18" fillId="0" borderId="0" xfId="0" applyFont="1" applyBorder="1" applyAlignment="1">
      <alignment horizontal="center" vertical="center"/>
    </xf>
    <xf numFmtId="0" fontId="18" fillId="0" borderId="21" xfId="0" applyFont="1" applyBorder="1" applyAlignment="1">
      <alignment horizontal="center" vertical="center"/>
    </xf>
    <xf numFmtId="0" fontId="14" fillId="0" borderId="0" xfId="0" applyFont="1" applyBorder="1" applyAlignment="1">
      <alignment horizontal="center" vertical="center"/>
    </xf>
    <xf numFmtId="0" fontId="14" fillId="0" borderId="21" xfId="0" applyFont="1" applyBorder="1" applyAlignment="1">
      <alignment horizontal="center" vertical="center"/>
    </xf>
    <xf numFmtId="0" fontId="14" fillId="0" borderId="23" xfId="0" applyFont="1" applyBorder="1" applyAlignment="1">
      <alignment horizontal="center" vertical="center"/>
    </xf>
    <xf numFmtId="0" fontId="14" fillId="0" borderId="24" xfId="0" applyFont="1" applyBorder="1" applyAlignment="1">
      <alignment horizontal="center" vertical="center"/>
    </xf>
    <xf numFmtId="0" fontId="6" fillId="5" borderId="3"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3" xfId="0" applyFont="1" applyFill="1" applyBorder="1" applyAlignment="1">
      <alignment horizontal="center" vertical="center"/>
    </xf>
    <xf numFmtId="0" fontId="6" fillId="5" borderId="5" xfId="0" applyFont="1" applyFill="1" applyBorder="1" applyAlignment="1">
      <alignment horizontal="center" vertical="center"/>
    </xf>
    <xf numFmtId="0" fontId="5" fillId="9" borderId="0" xfId="0" applyFont="1" applyFill="1" applyBorder="1" applyAlignment="1">
      <alignment horizontal="left" vertical="center"/>
    </xf>
    <xf numFmtId="0" fontId="5" fillId="10" borderId="0" xfId="0" applyFont="1" applyFill="1" applyBorder="1" applyAlignment="1">
      <alignment horizontal="left" vertical="center"/>
    </xf>
    <xf numFmtId="0" fontId="6" fillId="5" borderId="0" xfId="0" applyFont="1" applyFill="1" applyBorder="1" applyAlignment="1">
      <alignment horizontal="center" vertical="center"/>
    </xf>
    <xf numFmtId="0" fontId="5" fillId="7" borderId="0" xfId="0" applyFont="1" applyFill="1" applyBorder="1" applyAlignment="1">
      <alignment horizontal="left" vertical="center"/>
    </xf>
    <xf numFmtId="0" fontId="5" fillId="8" borderId="0" xfId="0" applyFont="1" applyFill="1" applyBorder="1" applyAlignment="1">
      <alignment horizontal="left" vertical="center"/>
    </xf>
    <xf numFmtId="0" fontId="11" fillId="13" borderId="7" xfId="2" applyFont="1" applyFill="1" applyBorder="1" applyAlignment="1">
      <alignment horizontal="center" vertical="top"/>
    </xf>
    <xf numFmtId="0" fontId="11" fillId="13" borderId="10" xfId="2" applyFont="1" applyFill="1" applyBorder="1" applyAlignment="1">
      <alignment horizontal="center" vertical="top"/>
    </xf>
    <xf numFmtId="0" fontId="11" fillId="13" borderId="12" xfId="2" applyFont="1" applyFill="1" applyBorder="1" applyAlignment="1">
      <alignment horizontal="center" vertical="top"/>
    </xf>
    <xf numFmtId="0" fontId="11" fillId="15" borderId="7" xfId="3" applyFont="1" applyFill="1" applyBorder="1" applyAlignment="1">
      <alignment horizontal="center" vertical="top"/>
    </xf>
    <xf numFmtId="0" fontId="11" fillId="15" borderId="10" xfId="3" applyFont="1" applyFill="1" applyBorder="1" applyAlignment="1">
      <alignment horizontal="center" vertical="top"/>
    </xf>
    <xf numFmtId="0" fontId="11" fillId="15" borderId="12" xfId="3" applyFont="1" applyFill="1" applyBorder="1" applyAlignment="1">
      <alignment horizontal="center" vertical="top"/>
    </xf>
    <xf numFmtId="0" fontId="12" fillId="17" borderId="7" xfId="0" applyFont="1" applyFill="1" applyBorder="1" applyAlignment="1">
      <alignment horizontal="center" vertical="top"/>
    </xf>
    <xf numFmtId="0" fontId="12" fillId="17" borderId="10" xfId="0" applyFont="1" applyFill="1" applyBorder="1" applyAlignment="1">
      <alignment horizontal="center" vertical="top"/>
    </xf>
    <xf numFmtId="0" fontId="12" fillId="17" borderId="12" xfId="0" applyFont="1" applyFill="1" applyBorder="1" applyAlignment="1">
      <alignment horizontal="center" vertical="top"/>
    </xf>
    <xf numFmtId="0" fontId="6" fillId="5" borderId="6" xfId="0" applyFont="1" applyFill="1" applyBorder="1" applyAlignment="1">
      <alignment horizontal="center" vertical="center" wrapText="1"/>
    </xf>
    <xf numFmtId="0" fontId="6" fillId="5" borderId="0" xfId="0" applyFont="1" applyFill="1" applyBorder="1" applyAlignment="1">
      <alignment horizontal="center" vertical="center" wrapText="1"/>
    </xf>
  </cellXfs>
  <cellStyles count="4">
    <cellStyle name="Énfasis1" xfId="2" builtinId="29"/>
    <cellStyle name="Énfasis5" xfId="3" builtinId="45"/>
    <cellStyle name="Normal" xfId="0" builtinId="0"/>
    <cellStyle name="Normal_ES1 Quart" xfId="1" xr:uid="{00000000-0005-0000-0000-000003000000}"/>
  </cellStyles>
  <dxfs count="6">
    <dxf>
      <fill>
        <patternFill>
          <bgColor rgb="FF92D050"/>
        </patternFill>
      </fill>
    </dxf>
    <dxf>
      <fill>
        <patternFill>
          <bgColor rgb="FFFFFF66"/>
        </patternFill>
      </fill>
    </dxf>
    <dxf>
      <fill>
        <patternFill>
          <bgColor rgb="FFFFCC00"/>
        </patternFill>
      </fill>
    </dxf>
    <dxf>
      <fill>
        <patternFill>
          <bgColor rgb="FFFF9900"/>
        </patternFill>
      </fill>
    </dxf>
    <dxf>
      <fill>
        <patternFill>
          <bgColor rgb="FFFF0000"/>
        </patternFill>
      </fill>
    </dxf>
    <dxf>
      <fill>
        <patternFill>
          <bgColor rgb="FF00B050"/>
        </patternFill>
      </fill>
    </dxf>
  </dxfs>
  <tableStyles count="0" defaultTableStyle="TableStyleMedium2" defaultPivotStyle="PivotStyleLight16"/>
  <colors>
    <mruColors>
      <color rgb="FFDB1BAD"/>
      <color rgb="FFFFFF66"/>
      <color rgb="FFF4F174"/>
      <color rgb="FFFFCC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243840</xdr:colOff>
      <xdr:row>0</xdr:row>
      <xdr:rowOff>152400</xdr:rowOff>
    </xdr:from>
    <xdr:to>
      <xdr:col>4</xdr:col>
      <xdr:colOff>408652</xdr:colOff>
      <xdr:row>3</xdr:row>
      <xdr:rowOff>53393</xdr:rowOff>
    </xdr:to>
    <xdr:pic>
      <xdr:nvPicPr>
        <xdr:cNvPr id="3" name="2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464820" y="152400"/>
          <a:ext cx="2542252" cy="6096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393999</xdr:colOff>
      <xdr:row>0</xdr:row>
      <xdr:rowOff>328332</xdr:rowOff>
    </xdr:from>
    <xdr:ext cx="9281987" cy="4007436"/>
    <xdr:sp macro="" textlink="" fLocksText="0">
      <xdr:nvSpPr>
        <xdr:cNvPr id="2" name="1 CuadroTexto">
          <a:extLst>
            <a:ext uri="{FF2B5EF4-FFF2-40B4-BE49-F238E27FC236}">
              <a16:creationId xmlns:a16="http://schemas.microsoft.com/office/drawing/2014/main" id="{00000000-0008-0000-0100-000002000000}"/>
            </a:ext>
          </a:extLst>
        </xdr:cNvPr>
        <xdr:cNvSpPr txBox="1"/>
      </xdr:nvSpPr>
      <xdr:spPr>
        <a:xfrm>
          <a:off x="3045759" y="337857"/>
          <a:ext cx="9279592" cy="39960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Este documento permite realizar un análisis de riesgos sencillo en base a una escala de probababilidad e impacto de tres niveles. Instrucciones:				</a:t>
          </a:r>
        </a:p>
        <a:p>
          <a:pPr algn="l">
            <a:lnSpc>
              <a:spcPts val="1400"/>
            </a:lnSpc>
            <a:spcBef>
              <a:spcPts val="200"/>
            </a:spcBef>
            <a:spcAft>
              <a:spcPts val="200"/>
            </a:spcAft>
          </a:pPr>
          <a:r>
            <a:rPr lang="es-ES" sz="1100" b="1">
              <a:latin typeface="Arial" pitchFamily="34" charset="0"/>
              <a:cs typeface="Arial" pitchFamily="34" charset="0"/>
            </a:rPr>
            <a:t>  </a:t>
          </a:r>
          <a:r>
            <a:rPr lang="es-ES" sz="1100" b="1" baseline="0">
              <a:latin typeface="Arial" pitchFamily="34" charset="0"/>
              <a:cs typeface="Arial" pitchFamily="34" charset="0"/>
            </a:rPr>
            <a:t> </a:t>
          </a:r>
          <a:r>
            <a:rPr lang="es-ES" sz="1100" b="1">
              <a:latin typeface="Arial" pitchFamily="34" charset="0"/>
              <a:cs typeface="Arial" pitchFamily="34" charset="0"/>
            </a:rPr>
            <a:t> 1. Determinar el riesgo aceptable </a:t>
          </a:r>
          <a:r>
            <a:rPr lang="es-ES" sz="1100">
              <a:latin typeface="Arial" pitchFamily="34" charset="0"/>
              <a:cs typeface="Arial" pitchFamily="34" charset="0"/>
            </a:rPr>
            <a:t>por la organización, e indicarlo en la  pestaña "Tablas AR".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2. Identificar los activos críticos </a:t>
          </a:r>
          <a:r>
            <a:rPr lang="es-ES" sz="1100">
              <a:latin typeface="Arial" pitchFamily="34" charset="0"/>
              <a:cs typeface="Arial" pitchFamily="34" charset="0"/>
            </a:rPr>
            <a:t>de la organización.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3. Identificar las amenazas </a:t>
          </a:r>
          <a:r>
            <a:rPr lang="es-ES" sz="1100">
              <a:latin typeface="Arial" pitchFamily="34" charset="0"/>
              <a:cs typeface="Arial" pitchFamily="34" charset="0"/>
            </a:rPr>
            <a:t>que aplican a cada uno de los activos críticos, según la pestaña "</a:t>
          </a:r>
          <a:r>
            <a:rPr lang="es-ES" sz="1100" b="1">
              <a:latin typeface="Arial" pitchFamily="34" charset="0"/>
              <a:cs typeface="Arial" pitchFamily="34" charset="0"/>
            </a:rPr>
            <a:t>Catálogo Amenazas</a:t>
          </a:r>
          <a:r>
            <a:rPr lang="es-ES" sz="1100">
              <a:latin typeface="Arial" pitchFamily="34" charset="0"/>
              <a:cs typeface="Arial" pitchFamily="34" charset="0"/>
            </a:rPr>
            <a:t>".</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4. Establecer la probabilidad y el impacto </a:t>
          </a:r>
          <a:r>
            <a:rPr lang="es-ES" sz="1100">
              <a:latin typeface="Arial" pitchFamily="34" charset="0"/>
              <a:cs typeface="Arial" pitchFamily="34" charset="0"/>
            </a:rPr>
            <a:t>de que dicha amenaza se materialice, según los valores de la pestaña "</a:t>
          </a:r>
          <a:r>
            <a:rPr lang="es-ES" sz="1100" b="1">
              <a:latin typeface="Arial" pitchFamily="34" charset="0"/>
              <a:cs typeface="Arial" pitchFamily="34" charset="0"/>
            </a:rPr>
            <a:t>Tablas AR</a:t>
          </a:r>
          <a:r>
            <a:rPr lang="es-ES" sz="1100">
              <a:latin typeface="Arial" pitchFamily="34" charset="0"/>
              <a:cs typeface="Arial" pitchFamily="34" charset="0"/>
            </a:rPr>
            <a:t>".</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a:latin typeface="Arial" pitchFamily="34" charset="0"/>
              <a:cs typeface="Arial" pitchFamily="34" charset="0"/>
            </a:rPr>
            <a:t>5. Establecer medidas </a:t>
          </a:r>
          <a:r>
            <a:rPr lang="es-ES" sz="1100">
              <a:latin typeface="Arial" pitchFamily="34" charset="0"/>
              <a:cs typeface="Arial" pitchFamily="34" charset="0"/>
            </a:rPr>
            <a:t>para aquellos riesgos que superen el riesgo aceptable indicado.</a:t>
          </a:r>
        </a:p>
        <a:p>
          <a:pPr algn="l">
            <a:lnSpc>
              <a:spcPts val="1500"/>
            </a:lnSpc>
            <a:spcBef>
              <a:spcPts val="200"/>
            </a:spcBef>
            <a:spcAft>
              <a:spcPts val="200"/>
            </a:spcAft>
          </a:pPr>
          <a:endParaRPr lang="es-ES" sz="1100">
            <a:latin typeface="Arial" pitchFamily="34" charset="0"/>
            <a:cs typeface="Arial" pitchFamily="34" charset="0"/>
          </a:endParaRPr>
        </a:p>
        <a:p>
          <a:pPr algn="l">
            <a:lnSpc>
              <a:spcPts val="1400"/>
            </a:lnSpc>
            <a:spcBef>
              <a:spcPts val="200"/>
            </a:spcBef>
            <a:spcAft>
              <a:spcPts val="200"/>
            </a:spcAft>
          </a:pPr>
          <a:r>
            <a:rPr lang="es-ES" sz="1100">
              <a:latin typeface="Arial" pitchFamily="34" charset="0"/>
              <a:cs typeface="Arial" pitchFamily="34" charset="0"/>
            </a:rPr>
            <a:t>Campos</a:t>
          </a:r>
          <a:r>
            <a:rPr lang="es-ES" sz="1100" baseline="0">
              <a:latin typeface="Arial" pitchFamily="34" charset="0"/>
              <a:cs typeface="Arial" pitchFamily="34" charset="0"/>
            </a:rPr>
            <a:t> de la tabla:</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Activo</a:t>
          </a:r>
          <a:r>
            <a:rPr lang="es-ES" sz="1100" baseline="0">
              <a:latin typeface="Arial" pitchFamily="34" charset="0"/>
              <a:cs typeface="Arial" pitchFamily="34" charset="0"/>
            </a:rPr>
            <a:t>: Nombre del activo sobre el que se evalúa el riesgo. </a:t>
          </a:r>
        </a:p>
        <a:p>
          <a:pPr algn="l">
            <a:lnSpc>
              <a:spcPts val="14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Amenaza</a:t>
          </a:r>
          <a:r>
            <a:rPr lang="es-ES" sz="1100" baseline="0">
              <a:latin typeface="Arial" pitchFamily="34" charset="0"/>
              <a:cs typeface="Arial" pitchFamily="34" charset="0"/>
            </a:rPr>
            <a:t>: Descripción de la amenaza a la que está expuesta el activo.</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Probabilidad</a:t>
          </a:r>
          <a:r>
            <a:rPr lang="es-ES" sz="1100" baseline="0">
              <a:latin typeface="Arial" pitchFamily="34" charset="0"/>
              <a:cs typeface="Arial" pitchFamily="34" charset="0"/>
            </a:rPr>
            <a:t>. Probabilidad de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Impacto</a:t>
          </a:r>
          <a:r>
            <a:rPr lang="es-ES" sz="1100" baseline="0">
              <a:latin typeface="Arial" pitchFamily="34" charset="0"/>
              <a:cs typeface="Arial" pitchFamily="34" charset="0"/>
            </a:rPr>
            <a:t>. Impacto derivado de la materialización de la amenaza. </a:t>
          </a:r>
        </a:p>
        <a:p>
          <a:pPr algn="l">
            <a:lnSpc>
              <a:spcPts val="1500"/>
            </a:lnSpc>
            <a:spcBef>
              <a:spcPts val="200"/>
            </a:spcBef>
            <a:spcAft>
              <a:spcPts val="200"/>
            </a:spcAft>
          </a:pPr>
          <a:r>
            <a:rPr lang="es-ES" sz="1100" b="1">
              <a:solidFill>
                <a:schemeClr val="tx1"/>
              </a:solidFill>
              <a:latin typeface="+mn-lt"/>
              <a:ea typeface="+mn-ea"/>
              <a:cs typeface="+mn-cs"/>
            </a:rPr>
            <a:t>  </a:t>
          </a:r>
          <a:r>
            <a:rPr lang="es-ES" sz="1100" b="1" baseline="0">
              <a:solidFill>
                <a:schemeClr val="tx1"/>
              </a:solidFill>
              <a:latin typeface="+mn-lt"/>
              <a:ea typeface="+mn-ea"/>
              <a:cs typeface="+mn-cs"/>
            </a:rPr>
            <a:t> </a:t>
          </a:r>
          <a:r>
            <a:rPr lang="es-ES" sz="1100" b="1">
              <a:solidFill>
                <a:schemeClr val="tx1"/>
              </a:solidFill>
              <a:latin typeface="+mn-lt"/>
              <a:ea typeface="+mn-ea"/>
              <a:cs typeface="+mn-cs"/>
            </a:rPr>
            <a:t> </a:t>
          </a:r>
          <a:r>
            <a:rPr lang="es-ES" sz="1100" b="1" baseline="0">
              <a:latin typeface="Arial" pitchFamily="34" charset="0"/>
              <a:cs typeface="Arial" pitchFamily="34" charset="0"/>
            </a:rPr>
            <a:t>Riesgo</a:t>
          </a:r>
          <a:r>
            <a:rPr lang="es-ES" sz="1100" baseline="0">
              <a:latin typeface="Arial" pitchFamily="34" charset="0"/>
              <a:cs typeface="Arial" pitchFamily="34" charset="0"/>
            </a:rPr>
            <a:t>. Valor de riesgo resultante.</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1000"/>
            </a:lnSpc>
            <a:spcBef>
              <a:spcPts val="200"/>
            </a:spcBef>
            <a:spcAft>
              <a:spcPts val="200"/>
            </a:spcAft>
          </a:pPr>
          <a:r>
            <a:rPr lang="es-ES" sz="1100" baseline="0">
              <a:latin typeface="Arial" pitchFamily="34" charset="0"/>
              <a:cs typeface="Arial" pitchFamily="34" charset="0"/>
            </a:rPr>
            <a:t>En las pestañas de la hoja Excel se incluye información relevante sobre los niveles orientativos  de probabilidad y riesgo, así como un catálogo de amenazas básico.</a:t>
          </a:r>
        </a:p>
        <a:p>
          <a:pPr algn="l">
            <a:lnSpc>
              <a:spcPts val="1600"/>
            </a:lnSpc>
            <a:spcBef>
              <a:spcPts val="200"/>
            </a:spcBef>
            <a:spcAft>
              <a:spcPts val="200"/>
            </a:spcAft>
          </a:pPr>
          <a:endParaRPr lang="es-ES" sz="1100" baseline="0">
            <a:latin typeface="Arial" pitchFamily="34" charset="0"/>
            <a:cs typeface="Arial" pitchFamily="34" charset="0"/>
          </a:endParaRPr>
        </a:p>
        <a:p>
          <a:pPr algn="l">
            <a:lnSpc>
              <a:spcPts val="900"/>
            </a:lnSpc>
            <a:spcBef>
              <a:spcPts val="200"/>
            </a:spcBef>
            <a:spcAft>
              <a:spcPts val="200"/>
            </a:spcAft>
          </a:pP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685800</xdr:rowOff>
    </xdr:from>
    <xdr:to>
      <xdr:col>2</xdr:col>
      <xdr:colOff>257175</xdr:colOff>
      <xdr:row>0</xdr:row>
      <xdr:rowOff>1295400</xdr:rowOff>
    </xdr:to>
    <xdr:pic>
      <xdr:nvPicPr>
        <xdr:cNvPr id="2065" name="2 Imagen">
          <a:extLst>
            <a:ext uri="{FF2B5EF4-FFF2-40B4-BE49-F238E27FC236}">
              <a16:creationId xmlns:a16="http://schemas.microsoft.com/office/drawing/2014/main" id="{00000000-0008-0000-0100-0000110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 y="685800"/>
          <a:ext cx="24765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xdr:colOff>
      <xdr:row>0</xdr:row>
      <xdr:rowOff>4352925</xdr:rowOff>
    </xdr:from>
    <xdr:to>
      <xdr:col>6</xdr:col>
      <xdr:colOff>1</xdr:colOff>
      <xdr:row>0</xdr:row>
      <xdr:rowOff>4842061</xdr:rowOff>
    </xdr:to>
    <xdr:sp macro="" textlink="" fLocksText="0">
      <xdr:nvSpPr>
        <xdr:cNvPr id="5" name="4 CuadroTexto">
          <a:extLst>
            <a:ext uri="{FF2B5EF4-FFF2-40B4-BE49-F238E27FC236}">
              <a16:creationId xmlns:a16="http://schemas.microsoft.com/office/drawing/2014/main" id="{00000000-0008-0000-0100-000005000000}"/>
            </a:ext>
          </a:extLst>
        </xdr:cNvPr>
        <xdr:cNvSpPr txBox="1"/>
      </xdr:nvSpPr>
      <xdr:spPr>
        <a:xfrm>
          <a:off x="352424" y="4352925"/>
          <a:ext cx="11449051"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editAs="oneCell">
    <xdr:from>
      <xdr:col>4</xdr:col>
      <xdr:colOff>47625</xdr:colOff>
      <xdr:row>0</xdr:row>
      <xdr:rowOff>476250</xdr:rowOff>
    </xdr:from>
    <xdr:to>
      <xdr:col>8</xdr:col>
      <xdr:colOff>600075</xdr:colOff>
      <xdr:row>7</xdr:row>
      <xdr:rowOff>47625</xdr:rowOff>
    </xdr:to>
    <xdr:pic>
      <xdr:nvPicPr>
        <xdr:cNvPr id="3092" name="Picture 15">
          <a:extLst>
            <a:ext uri="{FF2B5EF4-FFF2-40B4-BE49-F238E27FC236}">
              <a16:creationId xmlns:a16="http://schemas.microsoft.com/office/drawing/2014/main" id="{00000000-0008-0000-0200-000014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72975" y="476250"/>
          <a:ext cx="3952875" cy="3848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1655444</xdr:colOff>
      <xdr:row>0</xdr:row>
      <xdr:rowOff>147359</xdr:rowOff>
    </xdr:from>
    <xdr:ext cx="8608155" cy="1149348"/>
    <xdr:sp macro="" textlink="" fLocksText="0">
      <xdr:nvSpPr>
        <xdr:cNvPr id="9" name="8 CuadroTexto">
          <a:extLst>
            <a:ext uri="{FF2B5EF4-FFF2-40B4-BE49-F238E27FC236}">
              <a16:creationId xmlns:a16="http://schemas.microsoft.com/office/drawing/2014/main" id="{00000000-0008-0000-0200-000009000000}"/>
            </a:ext>
          </a:extLst>
        </xdr:cNvPr>
        <xdr:cNvSpPr txBox="1"/>
      </xdr:nvSpPr>
      <xdr:spPr>
        <a:xfrm>
          <a:off x="3228974" y="156884"/>
          <a:ext cx="8324851" cy="115690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200"/>
            </a:spcBef>
            <a:spcAft>
              <a:spcPts val="200"/>
            </a:spcAft>
          </a:pPr>
          <a:r>
            <a:rPr lang="es-ES" sz="1100">
              <a:latin typeface="Arial" pitchFamily="34" charset="0"/>
              <a:cs typeface="Arial" pitchFamily="34" charset="0"/>
            </a:rPr>
            <a:t>Debajo se recogen</a:t>
          </a:r>
          <a:r>
            <a:rPr lang="es-ES" sz="1100" baseline="0">
              <a:latin typeface="Arial" pitchFamily="34" charset="0"/>
              <a:cs typeface="Arial" pitchFamily="34" charset="0"/>
            </a:rPr>
            <a:t> tablas orientativas para realizar las valoraciones de impacto según escalas de tres valores. En función del nivel de detalle que se desee conseguir, puede aumentarse el número de intervalos de la escala.</a:t>
          </a:r>
        </a:p>
        <a:p>
          <a:pPr algn="l">
            <a:lnSpc>
              <a:spcPts val="1300"/>
            </a:lnSpc>
            <a:spcBef>
              <a:spcPts val="200"/>
            </a:spcBef>
            <a:spcAft>
              <a:spcPts val="200"/>
            </a:spcAft>
          </a:pPr>
          <a:endParaRPr lang="es-ES" sz="1100" baseline="0">
            <a:latin typeface="Arial" pitchFamily="34" charset="0"/>
            <a:cs typeface="Arial" pitchFamily="34" charset="0"/>
          </a:endParaRPr>
        </a:p>
        <a:p>
          <a:pPr algn="l">
            <a:spcBef>
              <a:spcPts val="200"/>
            </a:spcBef>
            <a:spcAft>
              <a:spcPts val="200"/>
            </a:spcAft>
          </a:pPr>
          <a:r>
            <a:rPr lang="es-ES" sz="1100" baseline="0">
              <a:latin typeface="Arial" pitchFamily="34" charset="0"/>
              <a:cs typeface="Arial" pitchFamily="34" charset="0"/>
            </a:rPr>
            <a:t>Asimismo, se incluye una tabla para la definición del riesgo aceptable, que debe ser definido previamente a la realización del análisis de riesgos de acuerdo a la estrategia corporativa.</a:t>
          </a:r>
          <a:endParaRPr lang="es-ES" sz="1100">
            <a:latin typeface="Arial" pitchFamily="34" charset="0"/>
            <a:cs typeface="Arial" pitchFamily="34" charset="0"/>
          </a:endParaRPr>
        </a:p>
      </xdr:txBody>
    </xdr:sp>
    <xdr:clientData fLocksWithSheet="0"/>
  </xdr:oneCellAnchor>
  <xdr:twoCellAnchor editAs="oneCell">
    <xdr:from>
      <xdr:col>1</xdr:col>
      <xdr:colOff>85725</xdr:colOff>
      <xdr:row>0</xdr:row>
      <xdr:rowOff>381000</xdr:rowOff>
    </xdr:from>
    <xdr:to>
      <xdr:col>2</xdr:col>
      <xdr:colOff>1495425</xdr:colOff>
      <xdr:row>0</xdr:row>
      <xdr:rowOff>962025</xdr:rowOff>
    </xdr:to>
    <xdr:pic>
      <xdr:nvPicPr>
        <xdr:cNvPr id="3094" name="9 Imagen">
          <a:extLst>
            <a:ext uri="{FF2B5EF4-FFF2-40B4-BE49-F238E27FC236}">
              <a16:creationId xmlns:a16="http://schemas.microsoft.com/office/drawing/2014/main" id="{00000000-0008-0000-0200-0000160C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5" y="381000"/>
          <a:ext cx="24860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481965</xdr:colOff>
      <xdr:row>0</xdr:row>
      <xdr:rowOff>1481644</xdr:rowOff>
    </xdr:from>
    <xdr:to>
      <xdr:col>3</xdr:col>
      <xdr:colOff>1907</xdr:colOff>
      <xdr:row>0</xdr:row>
      <xdr:rowOff>1961374</xdr:rowOff>
    </xdr:to>
    <xdr:sp macro="" textlink="" fLocksText="0">
      <xdr:nvSpPr>
        <xdr:cNvPr id="12" name="11 CuadroTexto">
          <a:extLst>
            <a:ext uri="{FF2B5EF4-FFF2-40B4-BE49-F238E27FC236}">
              <a16:creationId xmlns:a16="http://schemas.microsoft.com/office/drawing/2014/main" id="{00000000-0008-0000-0200-00000C000000}"/>
            </a:ext>
          </a:extLst>
        </xdr:cNvPr>
        <xdr:cNvSpPr txBox="1"/>
      </xdr:nvSpPr>
      <xdr:spPr>
        <a:xfrm>
          <a:off x="485775" y="1479739"/>
          <a:ext cx="11077575"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y debe considerarse como una primera aproximación.  INCIBE no se responsabiliza del uso que pueda hacerse de la misma.</a:t>
          </a:r>
        </a:p>
      </xdr:txBody>
    </xdr:sp>
    <xdr:clientData fLocksWithSheet="0"/>
  </xdr:twoCellAnchor>
</xdr:wsDr>
</file>

<file path=xl/drawings/drawing4.xml><?xml version="1.0" encoding="utf-8"?>
<xdr:wsDr xmlns:xdr="http://schemas.openxmlformats.org/drawingml/2006/spreadsheetDrawing" xmlns:a="http://schemas.openxmlformats.org/drawingml/2006/main">
  <xdr:oneCellAnchor>
    <xdr:from>
      <xdr:col>1</xdr:col>
      <xdr:colOff>2636184</xdr:colOff>
      <xdr:row>0</xdr:row>
      <xdr:rowOff>250452</xdr:rowOff>
    </xdr:from>
    <xdr:ext cx="9488433" cy="1688166"/>
    <xdr:sp macro="" textlink="" fLocksText="0">
      <xdr:nvSpPr>
        <xdr:cNvPr id="6" name="5 CuadroTexto">
          <a:extLst>
            <a:ext uri="{FF2B5EF4-FFF2-40B4-BE49-F238E27FC236}">
              <a16:creationId xmlns:a16="http://schemas.microsoft.com/office/drawing/2014/main" id="{00000000-0008-0000-0300-000006000000}"/>
            </a:ext>
          </a:extLst>
        </xdr:cNvPr>
        <xdr:cNvSpPr txBox="1"/>
      </xdr:nvSpPr>
      <xdr:spPr>
        <a:xfrm>
          <a:off x="3398184" y="250452"/>
          <a:ext cx="9525000" cy="168816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l">
            <a:spcBef>
              <a:spcPts val="600"/>
            </a:spcBef>
            <a:spcAft>
              <a:spcPts val="600"/>
            </a:spcAft>
          </a:pPr>
          <a:r>
            <a:rPr lang="es-ES" sz="1400">
              <a:latin typeface="Arial" pitchFamily="34" charset="0"/>
              <a:cs typeface="Arial" pitchFamily="34" charset="0"/>
            </a:rPr>
            <a:t>El siguiente listado recoge las principales amenazas a considerar en el ámbito de un análisis de riesgos.</a:t>
          </a:r>
          <a:r>
            <a:rPr lang="es-ES" sz="1400" baseline="0">
              <a:latin typeface="Arial" pitchFamily="34" charset="0"/>
              <a:cs typeface="Arial" pitchFamily="34" charset="0"/>
            </a:rPr>
            <a:t> </a:t>
          </a:r>
          <a:r>
            <a:rPr lang="es-ES" sz="1400">
              <a:latin typeface="Arial" pitchFamily="34" charset="0"/>
              <a:cs typeface="Arial" pitchFamily="34" charset="0"/>
            </a:rPr>
            <a:t>Se trata de un extracto ligeramente modificado del catálogo de amenazas de MAGERIT.</a:t>
          </a:r>
        </a:p>
        <a:p>
          <a:pPr algn="l">
            <a:spcBef>
              <a:spcPts val="600"/>
            </a:spcBef>
            <a:spcAft>
              <a:spcPts val="600"/>
            </a:spcAft>
          </a:pPr>
          <a:r>
            <a:rPr lang="es-ES" sz="1400">
              <a:latin typeface="Arial" pitchFamily="34" charset="0"/>
              <a:cs typeface="Arial" pitchFamily="34" charset="0"/>
            </a:rPr>
            <a:t>Para</a:t>
          </a:r>
          <a:r>
            <a:rPr lang="es-ES" sz="1400" baseline="0">
              <a:latin typeface="Arial" pitchFamily="34" charset="0"/>
              <a:cs typeface="Arial" pitchFamily="34" charset="0"/>
            </a:rPr>
            <a:t> información más detallada, pueden consultarse los catálogos de MAGERIT V3 en su página web:</a:t>
          </a:r>
        </a:p>
        <a:p>
          <a:pPr algn="l">
            <a:spcBef>
              <a:spcPts val="600"/>
            </a:spcBef>
            <a:spcAft>
              <a:spcPts val="600"/>
            </a:spcAft>
          </a:pPr>
          <a:r>
            <a:rPr lang="es-ES" sz="1400" b="1" i="1">
              <a:latin typeface="Arial" pitchFamily="34" charset="0"/>
              <a:cs typeface="Arial" pitchFamily="34" charset="0"/>
            </a:rPr>
            <a:t>http://administracionelectronica.gob.es/ctt/verPestanaDescargas.htm?idIniciativa=184#.U48C7Pl_tO4</a:t>
          </a:r>
        </a:p>
      </xdr:txBody>
    </xdr:sp>
    <xdr:clientData fLocksWithSheet="0"/>
  </xdr:oneCellAnchor>
  <xdr:twoCellAnchor editAs="oneCell">
    <xdr:from>
      <xdr:col>1</xdr:col>
      <xdr:colOff>28575</xdr:colOff>
      <xdr:row>0</xdr:row>
      <xdr:rowOff>609600</xdr:rowOff>
    </xdr:from>
    <xdr:to>
      <xdr:col>1</xdr:col>
      <xdr:colOff>2505075</xdr:colOff>
      <xdr:row>0</xdr:row>
      <xdr:rowOff>1190625</xdr:rowOff>
    </xdr:to>
    <xdr:pic>
      <xdr:nvPicPr>
        <xdr:cNvPr id="1041" name="6 Imagen">
          <a:extLst>
            <a:ext uri="{FF2B5EF4-FFF2-40B4-BE49-F238E27FC236}">
              <a16:creationId xmlns:a16="http://schemas.microsoft.com/office/drawing/2014/main" id="{00000000-0008-0000-0300-000011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0575" y="609600"/>
          <a:ext cx="24765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21067</xdr:colOff>
      <xdr:row>0</xdr:row>
      <xdr:rowOff>2378120</xdr:rowOff>
    </xdr:from>
    <xdr:to>
      <xdr:col>12</xdr:col>
      <xdr:colOff>1</xdr:colOff>
      <xdr:row>0</xdr:row>
      <xdr:rowOff>2874781</xdr:rowOff>
    </xdr:to>
    <xdr:sp macro="" textlink="" fLocksText="0">
      <xdr:nvSpPr>
        <xdr:cNvPr id="8" name="7 CuadroTexto">
          <a:extLst>
            <a:ext uri="{FF2B5EF4-FFF2-40B4-BE49-F238E27FC236}">
              <a16:creationId xmlns:a16="http://schemas.microsoft.com/office/drawing/2014/main" id="{00000000-0008-0000-0300-000008000000}"/>
            </a:ext>
          </a:extLst>
        </xdr:cNvPr>
        <xdr:cNvSpPr txBox="1"/>
      </xdr:nvSpPr>
      <xdr:spPr>
        <a:xfrm>
          <a:off x="775447" y="2385740"/>
          <a:ext cx="11965642" cy="489136"/>
        </a:xfrm>
        <a:prstGeom prst="rect">
          <a:avLst/>
        </a:prstGeom>
        <a:solidFill>
          <a:srgbClr val="E62C00"/>
        </a:solidFill>
        <a:ln w="25400">
          <a:solidFill>
            <a:schemeClr val="tx1"/>
          </a:solidFill>
        </a:ln>
        <a:effectLst/>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marL="0" indent="0" algn="ctr">
            <a:spcBef>
              <a:spcPts val="0"/>
            </a:spcBef>
            <a:spcAft>
              <a:spcPts val="0"/>
            </a:spcAft>
          </a:pPr>
          <a:r>
            <a:rPr lang="es-ES" sz="1300" b="1">
              <a:solidFill>
                <a:schemeClr val="bg1"/>
              </a:solidFill>
              <a:latin typeface="Arial" pitchFamily="34" charset="0"/>
              <a:ea typeface="+mn-ea"/>
              <a:cs typeface="Arial" pitchFamily="34" charset="0"/>
            </a:rPr>
            <a:t>Esta información es facilitada por INCIBE de forma absolutamente gratuita.  INCIBE no se responsabiliza del uso que pueda hacerse de la misma.</a:t>
          </a:r>
        </a:p>
      </xdr:txBody>
    </xdr:sp>
    <xdr:clientData fLock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7620</xdr:rowOff>
        </xdr:from>
        <xdr:to>
          <xdr:col>0</xdr:col>
          <xdr:colOff>1402080</xdr:colOff>
          <xdr:row>2</xdr:row>
          <xdr:rowOff>144780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22"/>
  <sheetViews>
    <sheetView tabSelected="1" topLeftCell="A16" workbookViewId="0">
      <selection activeCell="P10" sqref="P10"/>
    </sheetView>
  </sheetViews>
  <sheetFormatPr baseColWidth="10" defaultColWidth="11.5546875" defaultRowHeight="13.8" x14ac:dyDescent="0.25"/>
  <cols>
    <col min="1" max="1" width="3.33203125" style="32" customWidth="1"/>
    <col min="2" max="6" width="11.5546875" style="32"/>
    <col min="7" max="7" width="13.33203125" style="32" customWidth="1"/>
    <col min="8" max="13" width="11.5546875" style="32"/>
    <col min="14" max="14" width="22" style="32" customWidth="1"/>
    <col min="15" max="16384" width="11.5546875" style="32"/>
  </cols>
  <sheetData>
    <row r="1" spans="1:14" ht="23.4" customHeight="1" thickTop="1" x14ac:dyDescent="0.25">
      <c r="A1" s="55"/>
      <c r="B1" s="56"/>
      <c r="C1" s="56"/>
      <c r="D1" s="56"/>
      <c r="F1" s="64" t="s">
        <v>0</v>
      </c>
      <c r="G1" s="64"/>
      <c r="H1" s="64"/>
      <c r="I1" s="64"/>
      <c r="J1" s="64"/>
      <c r="K1" s="64"/>
      <c r="L1" s="64"/>
      <c r="M1" s="64"/>
      <c r="N1" s="65"/>
    </row>
    <row r="2" spans="1:14" ht="14.4" customHeight="1" x14ac:dyDescent="0.25">
      <c r="A2" s="57"/>
      <c r="B2" s="47"/>
      <c r="C2" s="47"/>
      <c r="D2" s="47"/>
      <c r="E2" s="54"/>
      <c r="F2" s="66"/>
      <c r="G2" s="66"/>
      <c r="H2" s="66"/>
      <c r="I2" s="66"/>
      <c r="J2" s="66"/>
      <c r="K2" s="66"/>
      <c r="L2" s="66"/>
      <c r="M2" s="66"/>
      <c r="N2" s="67"/>
    </row>
    <row r="3" spans="1:14" ht="18" customHeight="1" x14ac:dyDescent="0.25">
      <c r="A3" s="57"/>
      <c r="B3" s="47"/>
      <c r="C3" s="47"/>
      <c r="D3" s="47"/>
      <c r="F3" s="68" t="s">
        <v>116</v>
      </c>
      <c r="G3" s="68"/>
      <c r="H3" s="68"/>
      <c r="I3" s="68"/>
      <c r="J3" s="68"/>
      <c r="K3" s="68"/>
      <c r="L3" s="68"/>
      <c r="M3" s="68"/>
      <c r="N3" s="69"/>
    </row>
    <row r="4" spans="1:14" ht="14.4" customHeight="1" thickBot="1" x14ac:dyDescent="0.3">
      <c r="A4" s="58"/>
      <c r="B4" s="59"/>
      <c r="C4" s="59"/>
      <c r="D4" s="59"/>
      <c r="E4" s="60"/>
      <c r="F4" s="70"/>
      <c r="G4" s="70"/>
      <c r="H4" s="70"/>
      <c r="I4" s="70"/>
      <c r="J4" s="70"/>
      <c r="K4" s="70"/>
      <c r="L4" s="70"/>
      <c r="M4" s="70"/>
      <c r="N4" s="71"/>
    </row>
    <row r="5" spans="1:14" ht="14.4" thickTop="1" x14ac:dyDescent="0.25"/>
    <row r="6" spans="1:14" ht="18" customHeight="1" thickBot="1" x14ac:dyDescent="0.3">
      <c r="A6" s="61" t="s">
        <v>103</v>
      </c>
      <c r="B6" s="51" t="s">
        <v>104</v>
      </c>
      <c r="C6" s="52"/>
      <c r="D6" s="52"/>
      <c r="E6" s="52"/>
      <c r="F6" s="52"/>
      <c r="G6" s="52"/>
      <c r="H6" s="52"/>
      <c r="I6" s="52"/>
      <c r="J6" s="52"/>
      <c r="K6" s="52"/>
      <c r="L6" s="52"/>
      <c r="M6" s="52"/>
      <c r="N6" s="52"/>
    </row>
    <row r="7" spans="1:14" x14ac:dyDescent="0.25">
      <c r="A7" s="62"/>
    </row>
    <row r="8" spans="1:14" ht="25.2" customHeight="1" x14ac:dyDescent="0.25">
      <c r="A8" s="62"/>
      <c r="B8" s="49" t="s">
        <v>105</v>
      </c>
    </row>
    <row r="9" spans="1:14" s="49" customFormat="1" ht="25.2" customHeight="1" x14ac:dyDescent="0.3">
      <c r="A9" s="62"/>
      <c r="B9" s="49" t="s">
        <v>106</v>
      </c>
    </row>
    <row r="10" spans="1:14" s="49" customFormat="1" ht="18" customHeight="1" x14ac:dyDescent="0.3">
      <c r="A10" s="50" t="s">
        <v>113</v>
      </c>
      <c r="B10" s="48" t="s">
        <v>107</v>
      </c>
    </row>
    <row r="11" spans="1:14" s="49" customFormat="1" ht="18" customHeight="1" x14ac:dyDescent="0.3">
      <c r="A11" s="50" t="s">
        <v>113</v>
      </c>
      <c r="B11" s="48" t="s">
        <v>108</v>
      </c>
    </row>
    <row r="12" spans="1:14" s="49" customFormat="1" ht="18" customHeight="1" x14ac:dyDescent="0.3">
      <c r="A12" s="50" t="s">
        <v>113</v>
      </c>
      <c r="B12" s="48" t="s">
        <v>109</v>
      </c>
    </row>
    <row r="13" spans="1:14" s="49" customFormat="1" ht="18" customHeight="1" x14ac:dyDescent="0.3">
      <c r="A13" s="50" t="s">
        <v>113</v>
      </c>
      <c r="B13" s="48" t="s">
        <v>110</v>
      </c>
    </row>
    <row r="14" spans="1:14" s="49" customFormat="1" ht="18" customHeight="1" x14ac:dyDescent="0.3">
      <c r="A14" s="50" t="s">
        <v>113</v>
      </c>
      <c r="B14" s="48" t="s">
        <v>111</v>
      </c>
    </row>
    <row r="15" spans="1:14" s="49" customFormat="1" ht="18" customHeight="1" x14ac:dyDescent="0.3">
      <c r="A15" s="50" t="s">
        <v>113</v>
      </c>
      <c r="B15" s="48" t="s">
        <v>112</v>
      </c>
    </row>
    <row r="16" spans="1:14" ht="12.6" customHeight="1" x14ac:dyDescent="0.25">
      <c r="A16" s="62"/>
    </row>
    <row r="17" spans="1:14" ht="18" customHeight="1" thickBot="1" x14ac:dyDescent="0.3">
      <c r="A17" s="61" t="s">
        <v>114</v>
      </c>
      <c r="B17" s="51" t="s">
        <v>115</v>
      </c>
      <c r="C17" s="52"/>
      <c r="D17" s="52"/>
      <c r="E17" s="52"/>
      <c r="F17" s="52"/>
      <c r="G17" s="52"/>
      <c r="H17" s="52"/>
      <c r="I17" s="52"/>
      <c r="J17" s="52"/>
      <c r="K17" s="52"/>
      <c r="L17" s="52"/>
      <c r="M17" s="52"/>
      <c r="N17" s="52"/>
    </row>
    <row r="18" spans="1:14" ht="18" customHeight="1" x14ac:dyDescent="0.25">
      <c r="A18" s="62"/>
    </row>
    <row r="19" spans="1:14" ht="39.6" customHeight="1" x14ac:dyDescent="0.25">
      <c r="A19" s="53" t="s">
        <v>113</v>
      </c>
      <c r="B19" s="63" t="s">
        <v>117</v>
      </c>
      <c r="C19" s="63"/>
      <c r="D19" s="63"/>
      <c r="E19" s="63"/>
      <c r="F19" s="63"/>
      <c r="G19" s="63"/>
      <c r="H19" s="63"/>
      <c r="I19" s="63"/>
      <c r="J19" s="63"/>
      <c r="K19" s="63"/>
      <c r="L19" s="63"/>
      <c r="M19" s="63"/>
      <c r="N19" s="63"/>
    </row>
    <row r="20" spans="1:14" ht="51" customHeight="1" x14ac:dyDescent="0.25">
      <c r="A20" s="53" t="s">
        <v>113</v>
      </c>
      <c r="B20" s="63" t="s">
        <v>118</v>
      </c>
      <c r="C20" s="63"/>
      <c r="D20" s="63"/>
      <c r="E20" s="63"/>
      <c r="F20" s="63"/>
      <c r="G20" s="63"/>
      <c r="H20" s="63"/>
      <c r="I20" s="63"/>
      <c r="J20" s="63"/>
      <c r="K20" s="63"/>
      <c r="L20" s="63"/>
      <c r="M20" s="63"/>
      <c r="N20" s="63"/>
    </row>
    <row r="21" spans="1:14" ht="41.4" customHeight="1" x14ac:dyDescent="0.25">
      <c r="A21" s="53" t="s">
        <v>113</v>
      </c>
      <c r="B21" s="63" t="s">
        <v>119</v>
      </c>
      <c r="C21" s="63"/>
      <c r="D21" s="63"/>
      <c r="E21" s="63"/>
      <c r="F21" s="63"/>
      <c r="G21" s="63"/>
      <c r="H21" s="63"/>
      <c r="I21" s="63"/>
      <c r="J21" s="63"/>
      <c r="K21" s="63"/>
      <c r="L21" s="63"/>
      <c r="M21" s="63"/>
      <c r="N21" s="63"/>
    </row>
    <row r="22" spans="1:14" ht="51.6" customHeight="1" x14ac:dyDescent="0.25">
      <c r="A22" s="53" t="s">
        <v>113</v>
      </c>
      <c r="B22" s="63" t="s">
        <v>120</v>
      </c>
      <c r="C22" s="63"/>
      <c r="D22" s="63"/>
      <c r="E22" s="63"/>
      <c r="F22" s="63"/>
      <c r="G22" s="63"/>
      <c r="H22" s="63"/>
      <c r="I22" s="63"/>
      <c r="J22" s="63"/>
      <c r="K22" s="63"/>
      <c r="L22" s="63"/>
      <c r="M22" s="63"/>
      <c r="N22" s="63"/>
    </row>
  </sheetData>
  <mergeCells count="6">
    <mergeCell ref="B19:N19"/>
    <mergeCell ref="B20:N20"/>
    <mergeCell ref="B21:N21"/>
    <mergeCell ref="B22:N22"/>
    <mergeCell ref="F1:N2"/>
    <mergeCell ref="F3:N4"/>
  </mergeCells>
  <pageMargins left="0.7" right="0.7" top="0.75" bottom="0.75" header="0.3" footer="0.3"/>
  <pageSetup paperSize="9"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B1:F12"/>
  <sheetViews>
    <sheetView topLeftCell="A4" zoomScale="85" zoomScaleNormal="85" workbookViewId="0">
      <selection activeCell="C12" sqref="C12"/>
    </sheetView>
  </sheetViews>
  <sheetFormatPr baseColWidth="10" defaultColWidth="11.44140625" defaultRowHeight="21.75" customHeight="1" x14ac:dyDescent="0.3"/>
  <cols>
    <col min="1" max="1" width="5.33203125" style="2" customWidth="1"/>
    <col min="2" max="2" width="34.5546875" style="2" customWidth="1"/>
    <col min="3" max="3" width="84.33203125" style="2" customWidth="1"/>
    <col min="4" max="4" width="18.6640625" style="2" customWidth="1"/>
    <col min="5" max="5" width="18.109375" style="2" customWidth="1"/>
    <col min="6" max="6" width="18.33203125" style="2" customWidth="1"/>
    <col min="7" max="16384" width="11.44140625" style="2"/>
  </cols>
  <sheetData>
    <row r="1" spans="2:6" ht="408" customHeight="1" thickBot="1" x14ac:dyDescent="0.35"/>
    <row r="2" spans="2:6" ht="35.25" customHeight="1" thickBot="1" x14ac:dyDescent="0.35">
      <c r="B2" s="72" t="s">
        <v>0</v>
      </c>
      <c r="C2" s="73"/>
      <c r="D2" s="73"/>
      <c r="E2" s="73"/>
      <c r="F2" s="74"/>
    </row>
    <row r="3" spans="2:6" ht="21.75" customHeight="1" x14ac:dyDescent="0.3">
      <c r="B3" s="8" t="s">
        <v>1</v>
      </c>
      <c r="C3" s="8" t="s">
        <v>2</v>
      </c>
      <c r="D3" s="8" t="s">
        <v>3</v>
      </c>
      <c r="E3" s="8" t="s">
        <v>4</v>
      </c>
      <c r="F3" s="8" t="s">
        <v>5</v>
      </c>
    </row>
    <row r="4" spans="2:6" ht="26.25" customHeight="1" x14ac:dyDescent="0.3">
      <c r="B4" s="13" t="s">
        <v>6</v>
      </c>
      <c r="C4" s="14" t="s">
        <v>40</v>
      </c>
      <c r="D4" s="15">
        <v>2</v>
      </c>
      <c r="E4" s="15">
        <v>3</v>
      </c>
      <c r="F4" s="15">
        <f t="shared" ref="F4:F9" si="0">D4*E4</f>
        <v>6</v>
      </c>
    </row>
    <row r="5" spans="2:6" ht="26.25" customHeight="1" x14ac:dyDescent="0.3">
      <c r="B5" s="13" t="s">
        <v>6</v>
      </c>
      <c r="C5" s="14" t="s">
        <v>46</v>
      </c>
      <c r="D5" s="15">
        <v>1</v>
      </c>
      <c r="E5" s="15">
        <v>3</v>
      </c>
      <c r="F5" s="15">
        <f t="shared" si="0"/>
        <v>3</v>
      </c>
    </row>
    <row r="6" spans="2:6" ht="26.25" customHeight="1" x14ac:dyDescent="0.3">
      <c r="B6" s="13" t="s">
        <v>7</v>
      </c>
      <c r="C6" s="14" t="s">
        <v>50</v>
      </c>
      <c r="D6" s="15">
        <v>1</v>
      </c>
      <c r="E6" s="15">
        <v>2</v>
      </c>
      <c r="F6" s="15">
        <f t="shared" si="0"/>
        <v>2</v>
      </c>
    </row>
    <row r="7" spans="2:6" ht="26.25" customHeight="1" x14ac:dyDescent="0.3">
      <c r="B7" s="13" t="s">
        <v>7</v>
      </c>
      <c r="C7" s="14" t="s">
        <v>55</v>
      </c>
      <c r="D7" s="15">
        <v>2</v>
      </c>
      <c r="E7" s="15">
        <v>1</v>
      </c>
      <c r="F7" s="15">
        <f t="shared" si="0"/>
        <v>2</v>
      </c>
    </row>
    <row r="8" spans="2:6" ht="26.25" customHeight="1" x14ac:dyDescent="0.3">
      <c r="B8" s="16" t="s">
        <v>8</v>
      </c>
      <c r="C8" s="14" t="s">
        <v>55</v>
      </c>
      <c r="D8" s="17">
        <v>3</v>
      </c>
      <c r="E8" s="17">
        <v>2</v>
      </c>
      <c r="F8" s="15">
        <f t="shared" si="0"/>
        <v>6</v>
      </c>
    </row>
    <row r="9" spans="2:6" ht="26.25" customHeight="1" x14ac:dyDescent="0.3">
      <c r="B9" s="16" t="s">
        <v>8</v>
      </c>
      <c r="C9" s="14" t="s">
        <v>32</v>
      </c>
      <c r="D9" s="17">
        <v>1</v>
      </c>
      <c r="E9" s="17">
        <v>2</v>
      </c>
      <c r="F9" s="15">
        <f t="shared" si="0"/>
        <v>2</v>
      </c>
    </row>
    <row r="10" spans="2:6" ht="26.25" customHeight="1" x14ac:dyDescent="0.3">
      <c r="B10" s="18" t="s">
        <v>9</v>
      </c>
      <c r="C10" s="14"/>
      <c r="D10" s="16"/>
      <c r="E10" s="16"/>
      <c r="F10" s="15"/>
    </row>
    <row r="11" spans="2:6" ht="26.25" customHeight="1" x14ac:dyDescent="0.3">
      <c r="B11" s="18"/>
      <c r="C11" s="16"/>
      <c r="D11" s="16"/>
      <c r="E11" s="16"/>
      <c r="F11" s="15"/>
    </row>
    <row r="12" spans="2:6" ht="26.25" customHeight="1" x14ac:dyDescent="0.3">
      <c r="B12" s="18"/>
      <c r="C12" s="19" t="s">
        <v>28</v>
      </c>
      <c r="D12" s="16"/>
      <c r="E12" s="16"/>
      <c r="F12" s="15"/>
    </row>
  </sheetData>
  <mergeCells count="1">
    <mergeCell ref="B2:F2"/>
  </mergeCells>
  <conditionalFormatting sqref="F4:F12">
    <cfRule type="colorScale" priority="3">
      <colorScale>
        <cfvo type="min"/>
        <cfvo type="percentile" val="50"/>
        <cfvo type="max"/>
        <color rgb="FFF8696B"/>
        <color rgb="FFFFEB84"/>
        <color rgb="FF63BE7B"/>
      </colorScale>
    </cfRule>
  </conditionalFormatting>
  <conditionalFormatting sqref="F4:F9">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E19"/>
  <sheetViews>
    <sheetView topLeftCell="A7" zoomScaleNormal="100" workbookViewId="0">
      <selection activeCell="C17" sqref="C17"/>
    </sheetView>
  </sheetViews>
  <sheetFormatPr baseColWidth="10" defaultColWidth="11.44140625" defaultRowHeight="13.8" x14ac:dyDescent="0.3"/>
  <cols>
    <col min="1" max="1" width="7.44140625" style="2" customWidth="1"/>
    <col min="2" max="2" width="16.109375" style="2" customWidth="1"/>
    <col min="3" max="3" width="149.88671875" style="2" customWidth="1"/>
    <col min="4" max="5" width="11.44140625" style="2"/>
    <col min="6" max="6" width="16.6640625" style="2" customWidth="1"/>
    <col min="7" max="7" width="11.44140625" style="2"/>
    <col min="8" max="8" width="11.44140625" style="2" customWidth="1"/>
    <col min="9" max="9" width="11.44140625" style="2"/>
    <col min="10" max="10" width="9" style="2" customWidth="1"/>
    <col min="11" max="16384" width="11.44140625" style="2"/>
  </cols>
  <sheetData>
    <row r="1" spans="2:5" ht="174.75" customHeight="1" thickBot="1" x14ac:dyDescent="0.35"/>
    <row r="2" spans="2:5" ht="27" customHeight="1" thickBot="1" x14ac:dyDescent="0.35">
      <c r="B2" s="75" t="s">
        <v>18</v>
      </c>
      <c r="C2" s="76"/>
    </row>
    <row r="3" spans="2:5" ht="27" customHeight="1" x14ac:dyDescent="0.3">
      <c r="B3" s="8" t="s">
        <v>16</v>
      </c>
      <c r="C3" s="8" t="s">
        <v>17</v>
      </c>
    </row>
    <row r="4" spans="2:5" ht="27" customHeight="1" x14ac:dyDescent="0.3">
      <c r="B4" s="9" t="s">
        <v>25</v>
      </c>
      <c r="C4" s="10" t="s">
        <v>10</v>
      </c>
    </row>
    <row r="5" spans="2:5" ht="27" customHeight="1" x14ac:dyDescent="0.3">
      <c r="B5" s="9" t="s">
        <v>26</v>
      </c>
      <c r="C5" s="10" t="s">
        <v>11</v>
      </c>
    </row>
    <row r="6" spans="2:5" ht="27" customHeight="1" x14ac:dyDescent="0.3">
      <c r="B6" s="9" t="s">
        <v>27</v>
      </c>
      <c r="C6" s="10" t="s">
        <v>12</v>
      </c>
    </row>
    <row r="7" spans="2:5" ht="27" customHeight="1" thickBot="1" x14ac:dyDescent="0.35"/>
    <row r="8" spans="2:5" ht="27" customHeight="1" thickBot="1" x14ac:dyDescent="0.35">
      <c r="B8" s="75" t="s">
        <v>19</v>
      </c>
      <c r="C8" s="76"/>
    </row>
    <row r="9" spans="2:5" ht="27" customHeight="1" x14ac:dyDescent="0.3">
      <c r="B9" s="8" t="s">
        <v>16</v>
      </c>
      <c r="C9" s="8" t="s">
        <v>17</v>
      </c>
      <c r="E9" s="2" t="s">
        <v>23</v>
      </c>
    </row>
    <row r="10" spans="2:5" ht="27" customHeight="1" x14ac:dyDescent="0.3">
      <c r="B10" s="9" t="s">
        <v>25</v>
      </c>
      <c r="C10" s="11" t="s">
        <v>13</v>
      </c>
    </row>
    <row r="11" spans="2:5" ht="27" customHeight="1" x14ac:dyDescent="0.3">
      <c r="B11" s="9" t="s">
        <v>26</v>
      </c>
      <c r="C11" s="11" t="s">
        <v>14</v>
      </c>
    </row>
    <row r="12" spans="2:5" ht="27" customHeight="1" x14ac:dyDescent="0.3">
      <c r="B12" s="9" t="s">
        <v>27</v>
      </c>
      <c r="C12" s="11" t="s">
        <v>15</v>
      </c>
    </row>
    <row r="13" spans="2:5" ht="27" customHeight="1" thickBot="1" x14ac:dyDescent="0.35"/>
    <row r="14" spans="2:5" ht="27" customHeight="1" thickBot="1" x14ac:dyDescent="0.35">
      <c r="B14" s="75" t="s">
        <v>20</v>
      </c>
      <c r="C14" s="76"/>
    </row>
    <row r="15" spans="2:5" ht="27" customHeight="1" x14ac:dyDescent="0.3">
      <c r="B15" s="8" t="s">
        <v>21</v>
      </c>
      <c r="C15" s="8" t="s">
        <v>17</v>
      </c>
    </row>
    <row r="16" spans="2:5" ht="27" customHeight="1" x14ac:dyDescent="0.3">
      <c r="B16" s="12" t="s">
        <v>60</v>
      </c>
      <c r="C16" s="11" t="s">
        <v>22</v>
      </c>
    </row>
    <row r="17" spans="1:3" ht="27" customHeight="1" x14ac:dyDescent="0.3">
      <c r="A17" s="2" t="s">
        <v>23</v>
      </c>
      <c r="B17" s="1" t="s">
        <v>61</v>
      </c>
      <c r="C17" s="11" t="s">
        <v>24</v>
      </c>
    </row>
    <row r="18" spans="1:3" ht="27" customHeight="1" x14ac:dyDescent="0.3">
      <c r="A18" s="2" t="s">
        <v>80</v>
      </c>
    </row>
    <row r="19" spans="1:3" x14ac:dyDescent="0.3">
      <c r="A19" s="2" t="s">
        <v>81</v>
      </c>
    </row>
  </sheetData>
  <sheetProtection password="CB78" sheet="1" objects="1" scenarios="1"/>
  <mergeCells count="3">
    <mergeCell ref="B8:C8"/>
    <mergeCell ref="B2:C2"/>
    <mergeCell ref="B14:C14"/>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B1:L33"/>
  <sheetViews>
    <sheetView topLeftCell="A7" zoomScale="85" zoomScaleNormal="85" workbookViewId="0">
      <selection activeCell="B5" sqref="B5"/>
    </sheetView>
  </sheetViews>
  <sheetFormatPr baseColWidth="10" defaultColWidth="11.44140625" defaultRowHeight="13.8" x14ac:dyDescent="0.3"/>
  <cols>
    <col min="1" max="1" width="11.44140625" style="2"/>
    <col min="2" max="2" width="58.44140625" style="2" customWidth="1"/>
    <col min="3" max="3" width="4.88671875" style="2" customWidth="1"/>
    <col min="4" max="7" width="11.44140625" style="2"/>
    <col min="8" max="8" width="19" style="2" customWidth="1"/>
    <col min="9" max="9" width="5.6640625" style="2" customWidth="1"/>
    <col min="10" max="10" width="11.44140625" style="2"/>
    <col min="11" max="11" width="11.44140625" style="2" customWidth="1"/>
    <col min="12" max="12" width="23" style="2" customWidth="1"/>
    <col min="13" max="16384" width="11.44140625" style="2"/>
  </cols>
  <sheetData>
    <row r="1" spans="2:12" ht="240.75" customHeight="1" x14ac:dyDescent="0.3"/>
    <row r="2" spans="2:12" ht="23.25" customHeight="1" x14ac:dyDescent="0.3">
      <c r="B2" s="6" t="s">
        <v>59</v>
      </c>
      <c r="C2" s="7"/>
      <c r="D2" s="79" t="s">
        <v>59</v>
      </c>
      <c r="E2" s="79"/>
      <c r="F2" s="79"/>
      <c r="G2" s="79"/>
      <c r="H2" s="79"/>
      <c r="I2" s="7"/>
      <c r="J2" s="79" t="s">
        <v>59</v>
      </c>
      <c r="K2" s="79"/>
      <c r="L2" s="79"/>
    </row>
    <row r="3" spans="2:12" ht="23.25" customHeight="1" x14ac:dyDescent="0.3">
      <c r="B3" s="5" t="s">
        <v>29</v>
      </c>
      <c r="C3" s="4"/>
      <c r="D3" s="81" t="s">
        <v>32</v>
      </c>
      <c r="E3" s="81"/>
      <c r="F3" s="81"/>
      <c r="G3" s="81"/>
      <c r="H3" s="81"/>
      <c r="I3" s="4"/>
      <c r="J3" s="78" t="s">
        <v>37</v>
      </c>
      <c r="K3" s="78"/>
      <c r="L3" s="78"/>
    </row>
    <row r="4" spans="2:12" ht="23.25" customHeight="1" x14ac:dyDescent="0.3">
      <c r="B4" s="5" t="s">
        <v>30</v>
      </c>
      <c r="C4" s="4"/>
      <c r="D4" s="81" t="s">
        <v>33</v>
      </c>
      <c r="E4" s="81"/>
      <c r="F4" s="81"/>
      <c r="G4" s="81"/>
      <c r="H4" s="81"/>
      <c r="I4" s="4"/>
      <c r="J4" s="78" t="s">
        <v>38</v>
      </c>
      <c r="K4" s="78"/>
      <c r="L4" s="78"/>
    </row>
    <row r="5" spans="2:12" ht="23.25" customHeight="1" x14ac:dyDescent="0.3">
      <c r="B5" s="5" t="s">
        <v>31</v>
      </c>
      <c r="C5" s="4"/>
      <c r="D5" s="81" t="s">
        <v>34</v>
      </c>
      <c r="E5" s="81"/>
      <c r="F5" s="81"/>
      <c r="G5" s="81"/>
      <c r="H5" s="81"/>
      <c r="I5" s="4"/>
      <c r="J5" s="78" t="s">
        <v>39</v>
      </c>
      <c r="K5" s="78"/>
      <c r="L5" s="78"/>
    </row>
    <row r="6" spans="2:12" ht="23.25" customHeight="1" x14ac:dyDescent="0.3">
      <c r="B6" s="4"/>
      <c r="C6" s="4"/>
      <c r="D6" s="81" t="s">
        <v>35</v>
      </c>
      <c r="E6" s="81"/>
      <c r="F6" s="81"/>
      <c r="G6" s="81"/>
      <c r="H6" s="81"/>
      <c r="I6" s="4"/>
      <c r="J6" s="4"/>
      <c r="K6" s="7"/>
      <c r="L6" s="4"/>
    </row>
    <row r="7" spans="2:12" ht="23.25" customHeight="1" x14ac:dyDescent="0.3">
      <c r="B7" s="6" t="s">
        <v>59</v>
      </c>
      <c r="C7" s="4"/>
      <c r="D7" s="81" t="s">
        <v>36</v>
      </c>
      <c r="E7" s="81"/>
      <c r="F7" s="81"/>
      <c r="G7" s="81"/>
      <c r="H7" s="81"/>
      <c r="I7" s="4"/>
      <c r="J7" s="79" t="s">
        <v>59</v>
      </c>
      <c r="K7" s="79"/>
      <c r="L7" s="79"/>
    </row>
    <row r="8" spans="2:12" ht="23.25" customHeight="1" x14ac:dyDescent="0.3">
      <c r="B8" s="3" t="s">
        <v>40</v>
      </c>
      <c r="C8" s="4"/>
      <c r="D8" s="4"/>
      <c r="E8" s="4"/>
      <c r="F8" s="4"/>
      <c r="G8" s="4"/>
      <c r="H8" s="4"/>
      <c r="I8" s="4"/>
      <c r="J8" s="77" t="s">
        <v>55</v>
      </c>
      <c r="K8" s="77"/>
      <c r="L8" s="77"/>
    </row>
    <row r="9" spans="2:12" ht="23.25" customHeight="1" x14ac:dyDescent="0.3">
      <c r="B9" s="3" t="s">
        <v>41</v>
      </c>
      <c r="C9" s="4"/>
      <c r="D9" s="79" t="s">
        <v>59</v>
      </c>
      <c r="E9" s="79"/>
      <c r="F9" s="79"/>
      <c r="G9" s="79"/>
      <c r="H9" s="79"/>
      <c r="I9" s="4"/>
      <c r="J9" s="77" t="s">
        <v>56</v>
      </c>
      <c r="K9" s="77"/>
      <c r="L9" s="77"/>
    </row>
    <row r="10" spans="2:12" ht="23.25" customHeight="1" x14ac:dyDescent="0.3">
      <c r="B10" s="3" t="s">
        <v>42</v>
      </c>
      <c r="C10" s="4"/>
      <c r="D10" s="80" t="s">
        <v>46</v>
      </c>
      <c r="E10" s="80"/>
      <c r="F10" s="80"/>
      <c r="G10" s="80"/>
      <c r="H10" s="80"/>
      <c r="I10" s="4"/>
      <c r="J10" s="77" t="s">
        <v>52</v>
      </c>
      <c r="K10" s="77"/>
      <c r="L10" s="77"/>
    </row>
    <row r="11" spans="2:12" ht="23.25" customHeight="1" x14ac:dyDescent="0.3">
      <c r="B11" s="3" t="s">
        <v>43</v>
      </c>
      <c r="C11" s="4"/>
      <c r="D11" s="80" t="s">
        <v>47</v>
      </c>
      <c r="E11" s="80"/>
      <c r="F11" s="80"/>
      <c r="G11" s="80"/>
      <c r="H11" s="80"/>
      <c r="I11" s="4"/>
      <c r="J11" s="77" t="s">
        <v>57</v>
      </c>
      <c r="K11" s="77"/>
      <c r="L11" s="77"/>
    </row>
    <row r="12" spans="2:12" ht="23.25" customHeight="1" x14ac:dyDescent="0.3">
      <c r="B12" s="3" t="s">
        <v>44</v>
      </c>
      <c r="C12" s="4"/>
      <c r="D12" s="80" t="s">
        <v>48</v>
      </c>
      <c r="E12" s="80"/>
      <c r="F12" s="80"/>
      <c r="G12" s="80"/>
      <c r="H12" s="80"/>
      <c r="I12" s="4"/>
      <c r="J12" s="77" t="s">
        <v>58</v>
      </c>
      <c r="K12" s="77"/>
      <c r="L12" s="77"/>
    </row>
    <row r="13" spans="2:12" ht="23.25" customHeight="1" x14ac:dyDescent="0.3">
      <c r="B13" s="3" t="s">
        <v>45</v>
      </c>
      <c r="C13" s="4"/>
      <c r="D13" s="80" t="s">
        <v>49</v>
      </c>
      <c r="E13" s="80"/>
      <c r="F13" s="80"/>
      <c r="G13" s="80"/>
      <c r="H13" s="80"/>
      <c r="I13" s="4"/>
      <c r="J13" s="4"/>
      <c r="K13" s="4"/>
      <c r="L13" s="4"/>
    </row>
    <row r="14" spans="2:12" ht="23.25" customHeight="1" x14ac:dyDescent="0.3">
      <c r="B14" s="4"/>
      <c r="C14" s="4"/>
      <c r="D14" s="80" t="s">
        <v>50</v>
      </c>
      <c r="E14" s="80"/>
      <c r="F14" s="80"/>
      <c r="G14" s="80"/>
      <c r="H14" s="80"/>
      <c r="I14" s="4"/>
      <c r="J14" s="4"/>
      <c r="K14" s="4"/>
      <c r="L14" s="4"/>
    </row>
    <row r="15" spans="2:12" ht="23.25" customHeight="1" x14ac:dyDescent="0.3">
      <c r="B15" s="4"/>
      <c r="C15" s="4"/>
      <c r="D15" s="80" t="s">
        <v>51</v>
      </c>
      <c r="E15" s="80"/>
      <c r="F15" s="80"/>
      <c r="G15" s="80"/>
      <c r="H15" s="80"/>
      <c r="I15" s="4"/>
      <c r="J15" s="4"/>
      <c r="K15" s="4"/>
      <c r="L15" s="4"/>
    </row>
    <row r="16" spans="2:12" ht="23.25" customHeight="1" x14ac:dyDescent="0.3">
      <c r="B16" s="4"/>
      <c r="C16" s="4"/>
      <c r="D16" s="80" t="s">
        <v>52</v>
      </c>
      <c r="E16" s="80"/>
      <c r="F16" s="80"/>
      <c r="G16" s="80"/>
      <c r="H16" s="80"/>
      <c r="I16" s="4"/>
      <c r="J16" s="4"/>
      <c r="K16" s="4"/>
      <c r="L16" s="4"/>
    </row>
    <row r="17" spans="2:12" ht="23.25" customHeight="1" x14ac:dyDescent="0.3">
      <c r="B17" s="4"/>
      <c r="C17" s="4"/>
      <c r="D17" s="80" t="s">
        <v>53</v>
      </c>
      <c r="E17" s="80"/>
      <c r="F17" s="80"/>
      <c r="G17" s="80"/>
      <c r="H17" s="80"/>
      <c r="I17" s="4"/>
      <c r="J17" s="4"/>
      <c r="K17" s="4"/>
      <c r="L17" s="4"/>
    </row>
    <row r="18" spans="2:12" ht="23.25" customHeight="1" x14ac:dyDescent="0.3">
      <c r="B18" s="4"/>
      <c r="C18" s="4"/>
      <c r="D18" s="80" t="s">
        <v>54</v>
      </c>
      <c r="E18" s="80"/>
      <c r="F18" s="80"/>
      <c r="G18" s="80"/>
      <c r="H18" s="80"/>
      <c r="I18" s="4"/>
      <c r="J18" s="4"/>
      <c r="K18" s="4"/>
      <c r="L18" s="4"/>
    </row>
    <row r="19" spans="2:12" ht="23.25" customHeight="1" x14ac:dyDescent="0.3">
      <c r="B19" s="4"/>
      <c r="C19" s="4"/>
      <c r="D19" s="4"/>
      <c r="E19" s="4"/>
      <c r="F19" s="4"/>
      <c r="G19" s="4"/>
      <c r="H19" s="4"/>
      <c r="I19" s="4"/>
      <c r="J19" s="4"/>
      <c r="K19" s="4"/>
      <c r="L19" s="4"/>
    </row>
    <row r="20" spans="2:12" ht="23.25" customHeight="1" x14ac:dyDescent="0.3"/>
    <row r="21" spans="2:12" ht="19.5" customHeight="1" x14ac:dyDescent="0.3"/>
    <row r="22" spans="2:12" ht="19.5" customHeight="1" x14ac:dyDescent="0.3"/>
    <row r="23" spans="2:12" ht="19.5" customHeight="1" x14ac:dyDescent="0.3"/>
    <row r="24" spans="2:12" ht="19.5" customHeight="1" x14ac:dyDescent="0.3"/>
    <row r="25" spans="2:12" ht="19.5" customHeight="1" x14ac:dyDescent="0.3"/>
    <row r="26" spans="2:12" ht="19.5" customHeight="1" x14ac:dyDescent="0.3"/>
    <row r="27" spans="2:12" ht="19.5" customHeight="1" x14ac:dyDescent="0.3"/>
    <row r="28" spans="2:12" ht="19.5" customHeight="1" x14ac:dyDescent="0.3"/>
    <row r="29" spans="2:12" ht="19.5" customHeight="1" x14ac:dyDescent="0.3"/>
    <row r="30" spans="2:12" ht="19.5" customHeight="1" x14ac:dyDescent="0.3"/>
    <row r="31" spans="2:12" ht="19.5" customHeight="1" x14ac:dyDescent="0.3"/>
    <row r="32" spans="2:12" ht="19.5" customHeight="1" x14ac:dyDescent="0.3"/>
    <row r="33" ht="19.5" customHeight="1" x14ac:dyDescent="0.3"/>
  </sheetData>
  <sheetProtection password="CB78" sheet="1" objects="1" scenarios="1"/>
  <mergeCells count="26">
    <mergeCell ref="D15:H15"/>
    <mergeCell ref="D16:H16"/>
    <mergeCell ref="D17:H17"/>
    <mergeCell ref="D18:H18"/>
    <mergeCell ref="D3:H3"/>
    <mergeCell ref="D4:H4"/>
    <mergeCell ref="D5:H5"/>
    <mergeCell ref="D6:H6"/>
    <mergeCell ref="D7:H7"/>
    <mergeCell ref="D9:H9"/>
    <mergeCell ref="D13:H13"/>
    <mergeCell ref="D14:H14"/>
    <mergeCell ref="J9:L9"/>
    <mergeCell ref="J10:L10"/>
    <mergeCell ref="J11:L11"/>
    <mergeCell ref="J12:L12"/>
    <mergeCell ref="D10:H10"/>
    <mergeCell ref="D11:H11"/>
    <mergeCell ref="D12:H12"/>
    <mergeCell ref="J8:L8"/>
    <mergeCell ref="J3:L3"/>
    <mergeCell ref="J4:L4"/>
    <mergeCell ref="J5:L5"/>
    <mergeCell ref="D2:H2"/>
    <mergeCell ref="J2:L2"/>
    <mergeCell ref="J7:L7"/>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A1:D16"/>
  <sheetViews>
    <sheetView workbookViewId="0">
      <selection activeCell="C16" sqref="C16"/>
    </sheetView>
  </sheetViews>
  <sheetFormatPr baseColWidth="10" defaultColWidth="11.5546875" defaultRowHeight="13.8" x14ac:dyDescent="0.25"/>
  <cols>
    <col min="1" max="1" width="11.5546875" style="32"/>
    <col min="2" max="2" width="16.6640625" style="32" customWidth="1"/>
    <col min="3" max="3" width="72.6640625" style="20" customWidth="1"/>
    <col min="4" max="4" width="14" style="32" customWidth="1"/>
    <col min="5" max="16384" width="11.5546875" style="32"/>
  </cols>
  <sheetData>
    <row r="1" spans="1:4" ht="15" thickTop="1" thickBot="1" x14ac:dyDescent="0.3">
      <c r="B1" s="33" t="s">
        <v>82</v>
      </c>
      <c r="C1" s="34" t="s">
        <v>62</v>
      </c>
      <c r="D1" s="33" t="s">
        <v>97</v>
      </c>
    </row>
    <row r="2" spans="1:4" ht="15" thickTop="1" thickBot="1" x14ac:dyDescent="0.3"/>
    <row r="3" spans="1:4" x14ac:dyDescent="0.25">
      <c r="A3" s="82" t="s">
        <v>63</v>
      </c>
      <c r="B3" s="35" t="s">
        <v>83</v>
      </c>
      <c r="C3" s="30" t="s">
        <v>77</v>
      </c>
      <c r="D3" s="38" t="s">
        <v>80</v>
      </c>
    </row>
    <row r="4" spans="1:4" x14ac:dyDescent="0.25">
      <c r="A4" s="83"/>
      <c r="B4" s="36" t="s">
        <v>86</v>
      </c>
      <c r="C4" s="28" t="s">
        <v>78</v>
      </c>
      <c r="D4" s="39" t="s">
        <v>80</v>
      </c>
    </row>
    <row r="5" spans="1:4" ht="14.4" thickBot="1" x14ac:dyDescent="0.3">
      <c r="A5" s="84"/>
      <c r="B5" s="37" t="s">
        <v>87</v>
      </c>
      <c r="C5" s="31" t="s">
        <v>79</v>
      </c>
      <c r="D5" s="40" t="s">
        <v>80</v>
      </c>
    </row>
    <row r="6" spans="1:4" x14ac:dyDescent="0.25">
      <c r="A6" s="85" t="s">
        <v>64</v>
      </c>
      <c r="B6" s="35" t="s">
        <v>84</v>
      </c>
      <c r="C6" s="30" t="s">
        <v>73</v>
      </c>
      <c r="D6" s="41"/>
    </row>
    <row r="7" spans="1:4" x14ac:dyDescent="0.25">
      <c r="A7" s="86"/>
      <c r="B7" s="36" t="s">
        <v>88</v>
      </c>
      <c r="C7" s="29" t="s">
        <v>74</v>
      </c>
      <c r="D7" s="42"/>
    </row>
    <row r="8" spans="1:4" ht="42" x14ac:dyDescent="0.25">
      <c r="A8" s="86"/>
      <c r="B8" s="36" t="s">
        <v>89</v>
      </c>
      <c r="C8" s="29" t="s">
        <v>75</v>
      </c>
      <c r="D8" s="42"/>
    </row>
    <row r="9" spans="1:4" ht="14.4" thickBot="1" x14ac:dyDescent="0.3">
      <c r="A9" s="87"/>
      <c r="B9" s="37" t="s">
        <v>90</v>
      </c>
      <c r="C9" s="31" t="s">
        <v>76</v>
      </c>
      <c r="D9" s="43"/>
    </row>
    <row r="10" spans="1:4" x14ac:dyDescent="0.25">
      <c r="A10" s="88" t="s">
        <v>65</v>
      </c>
      <c r="B10" s="35" t="s">
        <v>85</v>
      </c>
      <c r="C10" s="30" t="s">
        <v>67</v>
      </c>
      <c r="D10" s="44"/>
    </row>
    <row r="11" spans="1:4" x14ac:dyDescent="0.25">
      <c r="A11" s="89"/>
      <c r="B11" s="36" t="s">
        <v>91</v>
      </c>
      <c r="C11" s="28" t="s">
        <v>68</v>
      </c>
      <c r="D11" s="45"/>
    </row>
    <row r="12" spans="1:4" x14ac:dyDescent="0.25">
      <c r="A12" s="89"/>
      <c r="B12" s="36" t="s">
        <v>92</v>
      </c>
      <c r="C12" s="28" t="s">
        <v>69</v>
      </c>
      <c r="D12" s="45"/>
    </row>
    <row r="13" spans="1:4" x14ac:dyDescent="0.25">
      <c r="A13" s="89"/>
      <c r="B13" s="36" t="s">
        <v>93</v>
      </c>
      <c r="C13" s="28" t="s">
        <v>70</v>
      </c>
      <c r="D13" s="45"/>
    </row>
    <row r="14" spans="1:4" x14ac:dyDescent="0.25">
      <c r="A14" s="89"/>
      <c r="B14" s="36" t="s">
        <v>94</v>
      </c>
      <c r="C14" s="28" t="s">
        <v>71</v>
      </c>
      <c r="D14" s="45"/>
    </row>
    <row r="15" spans="1:4" x14ac:dyDescent="0.25">
      <c r="A15" s="89"/>
      <c r="B15" s="36" t="s">
        <v>95</v>
      </c>
      <c r="C15" s="28" t="s">
        <v>72</v>
      </c>
      <c r="D15" s="45"/>
    </row>
    <row r="16" spans="1:4" ht="14.4" thickBot="1" x14ac:dyDescent="0.3">
      <c r="A16" s="90"/>
      <c r="B16" s="37" t="s">
        <v>96</v>
      </c>
      <c r="C16" s="31" t="s">
        <v>66</v>
      </c>
      <c r="D16" s="46"/>
    </row>
  </sheetData>
  <sheetProtection password="CB78" sheet="1" objects="1" scenarios="1"/>
  <mergeCells count="3">
    <mergeCell ref="A3:A5"/>
    <mergeCell ref="A6:A9"/>
    <mergeCell ref="A10:A16"/>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'Tablas AR'!$A$18:$A$19</xm:f>
          </x14:formula1>
          <xm:sqref>D2:D16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3"/>
  </sheetPr>
  <dimension ref="A1:O32"/>
  <sheetViews>
    <sheetView workbookViewId="0">
      <pane xSplit="1" ySplit="1" topLeftCell="D2" activePane="bottomRight" state="frozen"/>
      <selection pane="topRight" activeCell="B1" sqref="B1"/>
      <selection pane="bottomLeft" activeCell="A2" sqref="A2"/>
      <selection pane="bottomRight" activeCell="G4" sqref="G4"/>
    </sheetView>
  </sheetViews>
  <sheetFormatPr baseColWidth="10" defaultRowHeight="14.4" x14ac:dyDescent="0.3"/>
  <cols>
    <col min="1" max="1" width="64.88671875" customWidth="1"/>
  </cols>
  <sheetData>
    <row r="1" spans="1:15" x14ac:dyDescent="0.3">
      <c r="A1" t="s">
        <v>102</v>
      </c>
      <c r="B1" t="s">
        <v>83</v>
      </c>
      <c r="C1" t="s">
        <v>86</v>
      </c>
      <c r="D1" t="s">
        <v>87</v>
      </c>
      <c r="E1" t="s">
        <v>84</v>
      </c>
      <c r="F1" t="s">
        <v>88</v>
      </c>
      <c r="G1" t="s">
        <v>89</v>
      </c>
      <c r="H1" t="s">
        <v>90</v>
      </c>
      <c r="I1" t="s">
        <v>85</v>
      </c>
      <c r="J1" t="s">
        <v>91</v>
      </c>
      <c r="K1" t="s">
        <v>92</v>
      </c>
      <c r="L1" t="s">
        <v>93</v>
      </c>
      <c r="M1" t="s">
        <v>94</v>
      </c>
      <c r="N1" t="s">
        <v>95</v>
      </c>
      <c r="O1" t="s">
        <v>96</v>
      </c>
    </row>
    <row r="2" spans="1:15" x14ac:dyDescent="0.3">
      <c r="A2" s="5" t="s">
        <v>29</v>
      </c>
      <c r="B2" s="25" t="s">
        <v>80</v>
      </c>
      <c r="C2" s="25" t="s">
        <v>80</v>
      </c>
      <c r="D2" s="25" t="s">
        <v>80</v>
      </c>
      <c r="E2" s="25"/>
      <c r="F2" s="25"/>
      <c r="G2" s="25"/>
      <c r="H2" s="25"/>
      <c r="I2" s="25"/>
      <c r="J2" s="25"/>
      <c r="K2" s="25"/>
      <c r="L2" s="25"/>
      <c r="M2" s="25"/>
      <c r="N2" s="25"/>
      <c r="O2" s="25"/>
    </row>
    <row r="3" spans="1:15" x14ac:dyDescent="0.3">
      <c r="A3" s="5" t="s">
        <v>30</v>
      </c>
      <c r="B3" s="25"/>
      <c r="C3" s="25"/>
      <c r="D3" s="25"/>
      <c r="E3" s="25"/>
      <c r="F3" s="25"/>
      <c r="G3" s="25"/>
      <c r="H3" s="25"/>
      <c r="I3" s="25"/>
      <c r="J3" s="25"/>
      <c r="K3" s="25"/>
      <c r="L3" s="25"/>
      <c r="M3" s="25"/>
      <c r="N3" s="25"/>
      <c r="O3" s="25"/>
    </row>
    <row r="4" spans="1:15" x14ac:dyDescent="0.3">
      <c r="A4" s="5" t="s">
        <v>31</v>
      </c>
      <c r="B4" s="25"/>
      <c r="C4" s="25"/>
      <c r="D4" s="25"/>
      <c r="E4" s="25"/>
      <c r="F4" s="25"/>
      <c r="G4" s="25"/>
      <c r="H4" s="25"/>
      <c r="I4" s="25"/>
      <c r="J4" s="25"/>
      <c r="K4" s="25"/>
      <c r="L4" s="25"/>
      <c r="M4" s="25"/>
      <c r="N4" s="25"/>
      <c r="O4" s="25"/>
    </row>
    <row r="5" spans="1:15" x14ac:dyDescent="0.3">
      <c r="A5" s="3" t="s">
        <v>40</v>
      </c>
      <c r="B5" s="25"/>
      <c r="C5" s="25"/>
      <c r="D5" s="25"/>
      <c r="E5" s="25"/>
      <c r="F5" s="25"/>
      <c r="G5" s="25"/>
      <c r="H5" s="25"/>
      <c r="I5" s="25"/>
      <c r="J5" s="25"/>
      <c r="K5" s="25"/>
      <c r="L5" s="25"/>
      <c r="M5" s="25"/>
      <c r="N5" s="25"/>
      <c r="O5" s="25"/>
    </row>
    <row r="6" spans="1:15" x14ac:dyDescent="0.3">
      <c r="A6" s="3" t="s">
        <v>41</v>
      </c>
      <c r="B6" s="25"/>
      <c r="C6" s="25"/>
      <c r="D6" s="25"/>
      <c r="E6" s="25"/>
      <c r="F6" s="25"/>
      <c r="G6" s="25"/>
      <c r="H6" s="25"/>
      <c r="I6" s="25"/>
      <c r="J6" s="25"/>
      <c r="K6" s="25"/>
      <c r="L6" s="25"/>
      <c r="M6" s="25"/>
      <c r="N6" s="25"/>
      <c r="O6" s="25"/>
    </row>
    <row r="7" spans="1:15" x14ac:dyDescent="0.3">
      <c r="A7" s="3" t="s">
        <v>42</v>
      </c>
      <c r="B7" s="25"/>
      <c r="C7" s="25"/>
      <c r="D7" s="25"/>
      <c r="E7" s="25"/>
      <c r="F7" s="25"/>
      <c r="G7" s="25"/>
      <c r="H7" s="25"/>
      <c r="I7" s="25"/>
      <c r="J7" s="25"/>
      <c r="K7" s="25"/>
      <c r="L7" s="25"/>
      <c r="M7" s="25"/>
      <c r="N7" s="25"/>
      <c r="O7" s="25"/>
    </row>
    <row r="8" spans="1:15" x14ac:dyDescent="0.3">
      <c r="A8" s="3" t="s">
        <v>43</v>
      </c>
      <c r="B8" s="25"/>
      <c r="C8" s="25"/>
      <c r="D8" s="25" t="s">
        <v>80</v>
      </c>
      <c r="E8" s="25"/>
      <c r="F8" s="25"/>
      <c r="G8" s="25"/>
      <c r="H8" s="25"/>
      <c r="I8" s="25"/>
      <c r="J8" s="25"/>
      <c r="K8" s="25"/>
      <c r="L8" s="25"/>
      <c r="M8" s="25"/>
      <c r="N8" s="25"/>
      <c r="O8" s="25"/>
    </row>
    <row r="9" spans="1:15" x14ac:dyDescent="0.3">
      <c r="A9" s="3" t="s">
        <v>44</v>
      </c>
      <c r="B9" s="25"/>
      <c r="C9" s="25"/>
      <c r="D9" s="25"/>
      <c r="E9" s="25"/>
      <c r="F9" s="25"/>
      <c r="G9" s="25"/>
      <c r="H9" s="25"/>
      <c r="I9" s="25"/>
      <c r="J9" s="25"/>
      <c r="K9" s="25"/>
      <c r="L9" s="25"/>
      <c r="M9" s="25"/>
      <c r="N9" s="25"/>
      <c r="O9" s="25"/>
    </row>
    <row r="10" spans="1:15" x14ac:dyDescent="0.3">
      <c r="A10" s="3" t="s">
        <v>45</v>
      </c>
      <c r="B10" s="25" t="s">
        <v>80</v>
      </c>
      <c r="C10" s="25"/>
      <c r="D10" s="25"/>
      <c r="E10" s="25"/>
      <c r="F10" s="25"/>
      <c r="G10" s="25"/>
      <c r="H10" s="25"/>
      <c r="I10" s="25"/>
      <c r="J10" s="25"/>
      <c r="K10" s="25"/>
      <c r="L10" s="25"/>
      <c r="M10" s="25"/>
      <c r="N10" s="25"/>
      <c r="O10" s="25"/>
    </row>
    <row r="11" spans="1:15" x14ac:dyDescent="0.3">
      <c r="A11" s="22" t="s">
        <v>32</v>
      </c>
      <c r="B11" s="25"/>
      <c r="C11" s="25"/>
      <c r="D11" s="25"/>
      <c r="E11" s="25"/>
      <c r="F11" s="25"/>
      <c r="G11" s="25"/>
      <c r="H11" s="25"/>
      <c r="I11" s="25"/>
      <c r="J11" s="25"/>
      <c r="K11" s="25"/>
      <c r="L11" s="25"/>
      <c r="M11" s="25"/>
      <c r="N11" s="25"/>
      <c r="O11" s="25"/>
    </row>
    <row r="12" spans="1:15" x14ac:dyDescent="0.3">
      <c r="A12" s="22" t="s">
        <v>33</v>
      </c>
      <c r="B12" s="25"/>
      <c r="C12" s="25"/>
      <c r="D12" s="25"/>
      <c r="E12" s="25"/>
      <c r="F12" s="25"/>
      <c r="G12" s="25"/>
      <c r="H12" s="25"/>
      <c r="I12" s="25"/>
      <c r="J12" s="25"/>
      <c r="K12" s="25"/>
      <c r="L12" s="25"/>
      <c r="M12" s="25"/>
      <c r="N12" s="25"/>
      <c r="O12" s="25"/>
    </row>
    <row r="13" spans="1:15" x14ac:dyDescent="0.3">
      <c r="A13" s="22" t="s">
        <v>34</v>
      </c>
      <c r="B13" s="25"/>
      <c r="C13" s="25"/>
      <c r="D13" s="25"/>
      <c r="E13" s="25"/>
      <c r="F13" s="25"/>
      <c r="G13" s="25"/>
      <c r="H13" s="25"/>
      <c r="I13" s="25"/>
      <c r="J13" s="25"/>
      <c r="K13" s="25"/>
      <c r="L13" s="25"/>
      <c r="M13" s="25"/>
      <c r="N13" s="25"/>
      <c r="O13" s="25"/>
    </row>
    <row r="14" spans="1:15" x14ac:dyDescent="0.3">
      <c r="A14" s="22" t="s">
        <v>35</v>
      </c>
      <c r="B14" s="25"/>
      <c r="C14" s="25"/>
      <c r="D14" s="25"/>
      <c r="E14" s="25"/>
      <c r="F14" s="25"/>
      <c r="G14" s="25"/>
      <c r="H14" s="25"/>
      <c r="I14" s="25"/>
      <c r="J14" s="25"/>
      <c r="K14" s="25"/>
      <c r="L14" s="25"/>
      <c r="M14" s="25"/>
      <c r="N14" s="25"/>
      <c r="O14" s="25"/>
    </row>
    <row r="15" spans="1:15" x14ac:dyDescent="0.3">
      <c r="A15" s="22" t="s">
        <v>36</v>
      </c>
      <c r="B15" s="25"/>
      <c r="C15" s="25"/>
      <c r="D15" s="25"/>
      <c r="E15" s="25"/>
      <c r="F15" s="25"/>
      <c r="G15" s="25"/>
      <c r="H15" s="25"/>
      <c r="I15" s="25"/>
      <c r="J15" s="25"/>
      <c r="K15" s="25"/>
      <c r="L15" s="25"/>
      <c r="M15" s="25"/>
      <c r="N15" s="25"/>
      <c r="O15" s="25"/>
    </row>
    <row r="16" spans="1:15" x14ac:dyDescent="0.3">
      <c r="A16" s="21" t="s">
        <v>46</v>
      </c>
      <c r="B16" s="25"/>
      <c r="C16" s="25"/>
      <c r="D16" s="25"/>
      <c r="E16" s="25"/>
      <c r="F16" s="25"/>
      <c r="G16" s="25"/>
      <c r="H16" s="25"/>
      <c r="I16" s="25"/>
      <c r="J16" s="25"/>
      <c r="K16" s="25"/>
      <c r="L16" s="25"/>
      <c r="M16" s="25"/>
      <c r="N16" s="25"/>
      <c r="O16" s="25"/>
    </row>
    <row r="17" spans="1:15" x14ac:dyDescent="0.3">
      <c r="A17" s="21" t="s">
        <v>47</v>
      </c>
      <c r="B17" s="25"/>
      <c r="C17" s="25"/>
      <c r="D17" s="25"/>
      <c r="E17" s="25"/>
      <c r="F17" s="25"/>
      <c r="G17" s="25"/>
      <c r="H17" s="25"/>
      <c r="I17" s="25"/>
      <c r="J17" s="25"/>
      <c r="K17" s="25"/>
      <c r="L17" s="25"/>
      <c r="M17" s="25"/>
      <c r="N17" s="25"/>
      <c r="O17" s="25"/>
    </row>
    <row r="18" spans="1:15" x14ac:dyDescent="0.3">
      <c r="A18" s="21" t="s">
        <v>48</v>
      </c>
      <c r="B18" s="25"/>
      <c r="C18" s="25"/>
      <c r="D18" s="25"/>
      <c r="E18" s="25"/>
      <c r="F18" s="25"/>
      <c r="G18" s="25"/>
      <c r="H18" s="25"/>
      <c r="I18" s="25"/>
      <c r="J18" s="25"/>
      <c r="K18" s="25"/>
      <c r="L18" s="25"/>
      <c r="M18" s="25"/>
      <c r="N18" s="25"/>
      <c r="O18" s="25"/>
    </row>
    <row r="19" spans="1:15" x14ac:dyDescent="0.3">
      <c r="A19" s="21" t="s">
        <v>49</v>
      </c>
      <c r="B19" s="25"/>
      <c r="C19" s="25"/>
      <c r="D19" s="25"/>
      <c r="E19" s="25"/>
      <c r="F19" s="25"/>
      <c r="G19" s="25"/>
      <c r="H19" s="25"/>
      <c r="I19" s="25"/>
      <c r="J19" s="25"/>
      <c r="K19" s="25"/>
      <c r="L19" s="25"/>
      <c r="M19" s="25"/>
      <c r="N19" s="25"/>
      <c r="O19" s="25"/>
    </row>
    <row r="20" spans="1:15" x14ac:dyDescent="0.3">
      <c r="A20" s="21" t="s">
        <v>50</v>
      </c>
      <c r="B20" s="25"/>
      <c r="C20" s="25"/>
      <c r="D20" s="25"/>
      <c r="E20" s="25"/>
      <c r="F20" s="25"/>
      <c r="G20" s="25"/>
      <c r="H20" s="25"/>
      <c r="I20" s="25"/>
      <c r="J20" s="25"/>
      <c r="K20" s="25"/>
      <c r="L20" s="25"/>
      <c r="M20" s="25"/>
      <c r="N20" s="25"/>
      <c r="O20" s="25"/>
    </row>
    <row r="21" spans="1:15" x14ac:dyDescent="0.3">
      <c r="A21" s="21" t="s">
        <v>51</v>
      </c>
      <c r="B21" s="25"/>
      <c r="C21" s="25"/>
      <c r="D21" s="25"/>
      <c r="E21" s="25"/>
      <c r="F21" s="25"/>
      <c r="G21" s="25"/>
      <c r="H21" s="25"/>
      <c r="I21" s="25"/>
      <c r="J21" s="25"/>
      <c r="K21" s="25"/>
      <c r="L21" s="25"/>
      <c r="M21" s="25"/>
      <c r="N21" s="25"/>
      <c r="O21" s="25"/>
    </row>
    <row r="22" spans="1:15" x14ac:dyDescent="0.3">
      <c r="A22" s="21" t="s">
        <v>52</v>
      </c>
      <c r="B22" s="25"/>
      <c r="C22" s="25"/>
      <c r="D22" s="25"/>
      <c r="E22" s="25"/>
      <c r="F22" s="25"/>
      <c r="G22" s="25"/>
      <c r="H22" s="25"/>
      <c r="I22" s="25"/>
      <c r="J22" s="25"/>
      <c r="K22" s="25"/>
      <c r="L22" s="25"/>
      <c r="M22" s="25"/>
      <c r="N22" s="25"/>
      <c r="O22" s="25"/>
    </row>
    <row r="23" spans="1:15" x14ac:dyDescent="0.3">
      <c r="A23" s="21" t="s">
        <v>53</v>
      </c>
      <c r="B23" s="25"/>
      <c r="C23" s="25"/>
      <c r="D23" s="25"/>
      <c r="E23" s="25"/>
      <c r="F23" s="25"/>
      <c r="G23" s="25"/>
      <c r="H23" s="25"/>
      <c r="I23" s="25"/>
      <c r="J23" s="25"/>
      <c r="K23" s="25"/>
      <c r="L23" s="25"/>
      <c r="M23" s="25"/>
      <c r="N23" s="25"/>
      <c r="O23" s="25"/>
    </row>
    <row r="24" spans="1:15" x14ac:dyDescent="0.3">
      <c r="A24" s="21" t="s">
        <v>54</v>
      </c>
      <c r="B24" s="25"/>
      <c r="C24" s="25"/>
      <c r="D24" s="25"/>
      <c r="E24" s="25"/>
      <c r="F24" s="25"/>
      <c r="G24" s="25"/>
      <c r="H24" s="25"/>
      <c r="I24" s="25"/>
      <c r="J24" s="25"/>
      <c r="K24" s="25"/>
      <c r="L24" s="25"/>
      <c r="M24" s="25"/>
      <c r="N24" s="25"/>
      <c r="O24" s="25"/>
    </row>
    <row r="25" spans="1:15" x14ac:dyDescent="0.3">
      <c r="A25" s="23" t="s">
        <v>37</v>
      </c>
      <c r="B25" s="25"/>
      <c r="C25" s="25"/>
      <c r="D25" s="25"/>
      <c r="E25" s="25"/>
      <c r="F25" s="25"/>
      <c r="G25" s="25"/>
      <c r="H25" s="25"/>
      <c r="I25" s="25"/>
      <c r="J25" s="25"/>
      <c r="K25" s="25"/>
      <c r="L25" s="25"/>
      <c r="M25" s="25"/>
      <c r="N25" s="25"/>
      <c r="O25" s="25"/>
    </row>
    <row r="26" spans="1:15" x14ac:dyDescent="0.3">
      <c r="A26" s="23" t="s">
        <v>38</v>
      </c>
      <c r="B26" s="25"/>
      <c r="C26" s="25"/>
      <c r="D26" s="25"/>
      <c r="E26" s="25"/>
      <c r="F26" s="25"/>
      <c r="G26" s="25"/>
      <c r="H26" s="25"/>
      <c r="I26" s="25"/>
      <c r="J26" s="25"/>
      <c r="K26" s="25"/>
      <c r="L26" s="25"/>
      <c r="M26" s="25"/>
      <c r="N26" s="25"/>
      <c r="O26" s="25"/>
    </row>
    <row r="27" spans="1:15" x14ac:dyDescent="0.3">
      <c r="A27" s="23" t="s">
        <v>39</v>
      </c>
      <c r="B27" s="25"/>
      <c r="C27" s="25"/>
      <c r="D27" s="25"/>
      <c r="E27" s="25"/>
      <c r="F27" s="25"/>
      <c r="G27" s="25"/>
      <c r="H27" s="25"/>
      <c r="I27" s="25"/>
      <c r="J27" s="25"/>
      <c r="K27" s="25"/>
      <c r="L27" s="25"/>
      <c r="M27" s="25"/>
      <c r="N27" s="25"/>
      <c r="O27" s="25"/>
    </row>
    <row r="28" spans="1:15" x14ac:dyDescent="0.3">
      <c r="A28" s="24" t="s">
        <v>55</v>
      </c>
      <c r="B28" s="25"/>
      <c r="C28" s="25"/>
      <c r="D28" s="25"/>
      <c r="E28" s="25"/>
      <c r="F28" s="25"/>
      <c r="G28" s="25"/>
      <c r="H28" s="25"/>
      <c r="I28" s="25"/>
      <c r="J28" s="25"/>
      <c r="K28" s="25"/>
      <c r="L28" s="25"/>
      <c r="M28" s="25"/>
      <c r="N28" s="25"/>
      <c r="O28" s="25"/>
    </row>
    <row r="29" spans="1:15" x14ac:dyDescent="0.3">
      <c r="A29" s="24" t="s">
        <v>56</v>
      </c>
      <c r="B29" s="25"/>
      <c r="C29" s="25"/>
      <c r="D29" s="25"/>
      <c r="E29" s="25"/>
      <c r="F29" s="25"/>
      <c r="G29" s="25"/>
      <c r="H29" s="25"/>
      <c r="I29" s="25"/>
      <c r="J29" s="25"/>
      <c r="K29" s="25"/>
      <c r="L29" s="25"/>
      <c r="M29" s="25"/>
      <c r="N29" s="25"/>
      <c r="O29" s="25"/>
    </row>
    <row r="30" spans="1:15" x14ac:dyDescent="0.3">
      <c r="A30" s="24" t="s">
        <v>52</v>
      </c>
      <c r="B30" s="25"/>
      <c r="C30" s="25"/>
      <c r="D30" s="25"/>
      <c r="E30" s="25"/>
      <c r="F30" s="25"/>
      <c r="G30" s="25"/>
      <c r="H30" s="25"/>
      <c r="I30" s="25"/>
      <c r="J30" s="25"/>
      <c r="K30" s="25"/>
      <c r="L30" s="25"/>
      <c r="M30" s="25"/>
      <c r="N30" s="25"/>
      <c r="O30" s="25"/>
    </row>
    <row r="31" spans="1:15" x14ac:dyDescent="0.3">
      <c r="A31" s="24" t="s">
        <v>57</v>
      </c>
      <c r="B31" s="25"/>
      <c r="C31" s="25"/>
      <c r="D31" s="25"/>
      <c r="E31" s="25"/>
      <c r="F31" s="25"/>
      <c r="G31" s="25"/>
      <c r="H31" s="25"/>
      <c r="I31" s="25"/>
      <c r="J31" s="25"/>
      <c r="K31" s="25"/>
      <c r="L31" s="25"/>
      <c r="M31" s="25"/>
      <c r="N31" s="25"/>
      <c r="O31" s="25"/>
    </row>
    <row r="32" spans="1:15" x14ac:dyDescent="0.3">
      <c r="A32" s="24" t="s">
        <v>58</v>
      </c>
      <c r="B32" s="25"/>
      <c r="C32" s="25"/>
      <c r="D32" s="25"/>
      <c r="E32" s="25"/>
      <c r="F32" s="25"/>
      <c r="G32" s="25"/>
      <c r="H32" s="25"/>
      <c r="I32" s="25"/>
      <c r="J32" s="25"/>
      <c r="K32" s="25"/>
      <c r="L32" s="25"/>
      <c r="M32" s="25"/>
      <c r="N32" s="25"/>
      <c r="O32" s="25"/>
    </row>
  </sheetData>
  <sheetProtection password="E5F4" sheet="1" objects="1" scenario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'Tablas AR'!$A$18:$A$19</xm:f>
          </x14:formula1>
          <xm:sqref>B2:AO32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tabColor theme="6" tint="-0.499984740745262"/>
  </sheetPr>
  <dimension ref="B1:I1402"/>
  <sheetViews>
    <sheetView workbookViewId="0">
      <selection activeCell="D13" sqref="D13"/>
    </sheetView>
  </sheetViews>
  <sheetFormatPr baseColWidth="10" defaultRowHeight="14.4" x14ac:dyDescent="0.3"/>
  <cols>
    <col min="1" max="1" width="21.44140625" customWidth="1"/>
    <col min="2" max="2" width="38.6640625" customWidth="1"/>
    <col min="3" max="3" width="38.88671875" hidden="1" customWidth="1"/>
    <col min="4" max="4" width="35.6640625" customWidth="1"/>
    <col min="5" max="5" width="18.109375" customWidth="1"/>
    <col min="6" max="6" width="18.109375" hidden="1" customWidth="1"/>
    <col min="7" max="7" width="17" customWidth="1"/>
    <col min="8" max="8" width="17.6640625" hidden="1" customWidth="1"/>
    <col min="9" max="9" width="16.33203125" customWidth="1"/>
  </cols>
  <sheetData>
    <row r="1" spans="2:9" ht="17.399999999999999" x14ac:dyDescent="0.3">
      <c r="B1" s="91" t="s">
        <v>0</v>
      </c>
      <c r="C1" s="92"/>
      <c r="D1" s="92"/>
      <c r="E1" s="92"/>
      <c r="F1" s="92"/>
      <c r="G1" s="92"/>
      <c r="H1" s="92"/>
      <c r="I1" s="92"/>
    </row>
    <row r="2" spans="2:9" ht="15.6" x14ac:dyDescent="0.3">
      <c r="B2" s="8" t="s">
        <v>62</v>
      </c>
      <c r="C2" s="8"/>
      <c r="D2" s="8" t="s">
        <v>98</v>
      </c>
      <c r="E2" s="8" t="s">
        <v>99</v>
      </c>
      <c r="F2" s="8"/>
      <c r="G2" s="8" t="s">
        <v>100</v>
      </c>
      <c r="H2" s="8"/>
      <c r="I2" s="8" t="s">
        <v>101</v>
      </c>
    </row>
    <row r="3" spans="2:9" x14ac:dyDescent="0.3">
      <c r="B3" s="27" t="str">
        <f>IFERROR(INDEX(Activos!$B$3:$C$16, MATCH(C3,Activos!$B$3:$B$16),2),"")</f>
        <v>ordenador(es)</v>
      </c>
      <c r="C3" s="27" t="s">
        <v>83</v>
      </c>
      <c r="D3" s="27" t="s">
        <v>29</v>
      </c>
      <c r="E3" s="25" t="s">
        <v>25</v>
      </c>
      <c r="F3" s="26">
        <f>IF(E3='Tablas AR'!$B$4,1,IF('Análisis de Riesgos'!E3='Tablas AR'!$B$5,2,IF('Análisis de Riesgos'!E3='Tablas AR'!$B$6,3,"")))</f>
        <v>1</v>
      </c>
      <c r="G3" s="25" t="s">
        <v>26</v>
      </c>
      <c r="H3" s="26">
        <f>IF(G3='Tablas AR'!$B$10,1,IF('Análisis de Riesgos'!G3='Tablas AR'!$B$11,2,IF('Análisis de Riesgos'!G3='Tablas AR'!$B$12,3,"")))</f>
        <v>2</v>
      </c>
      <c r="I3" s="26">
        <f xml:space="preserve"> IFERROR(F3*H3,"")</f>
        <v>2</v>
      </c>
    </row>
    <row r="4" spans="2:9" x14ac:dyDescent="0.3">
      <c r="B4" s="27" t="str">
        <f>IFERROR(INDEX(Activos!$B$3:$C$16, MATCH(C4,Activos!$B$3:$B$16),2),"")</f>
        <v>ordenador(es)</v>
      </c>
      <c r="C4" s="27" t="s">
        <v>83</v>
      </c>
      <c r="D4" s="27" t="s">
        <v>45</v>
      </c>
      <c r="E4" s="25" t="s">
        <v>26</v>
      </c>
      <c r="F4" s="26">
        <f>IF(E4='Tablas AR'!$B$4,1,IF('Análisis de Riesgos'!E4='Tablas AR'!$B$5,2,IF('Análisis de Riesgos'!E4='Tablas AR'!$B$6,3,"")))</f>
        <v>2</v>
      </c>
      <c r="G4" s="25" t="s">
        <v>27</v>
      </c>
      <c r="H4" s="26">
        <f>IF(G4='Tablas AR'!$B$10,1,IF('Análisis de Riesgos'!G4='Tablas AR'!$B$11,2,IF('Análisis de Riesgos'!G4='Tablas AR'!$B$12,3,"")))</f>
        <v>3</v>
      </c>
      <c r="I4" s="26">
        <f t="shared" ref="I4:I67" si="0" xml:space="preserve"> IFERROR(F4*H4,"")</f>
        <v>6</v>
      </c>
    </row>
    <row r="5" spans="2:9" x14ac:dyDescent="0.3">
      <c r="B5" s="27" t="str">
        <f>IFERROR(INDEX(Activos!$B$3:$C$16, MATCH(C5,Activos!$B$3:$B$16),2),"")</f>
        <v>móvil(es) principalmente para telefonía</v>
      </c>
      <c r="C5" s="27" t="s">
        <v>86</v>
      </c>
      <c r="D5" s="27" t="s">
        <v>29</v>
      </c>
      <c r="E5" s="25" t="s">
        <v>25</v>
      </c>
      <c r="F5" s="26">
        <f>IF(E5='Tablas AR'!$B$4,1,IF('Análisis de Riesgos'!E5='Tablas AR'!$B$5,2,IF('Análisis de Riesgos'!E5='Tablas AR'!$B$6,3,"")))</f>
        <v>1</v>
      </c>
      <c r="G5" s="25" t="s">
        <v>27</v>
      </c>
      <c r="H5" s="26">
        <f>IF(G5='Tablas AR'!$B$10,1,IF('Análisis de Riesgos'!G5='Tablas AR'!$B$11,2,IF('Análisis de Riesgos'!G5='Tablas AR'!$B$12,3,"")))</f>
        <v>3</v>
      </c>
      <c r="I5" s="26">
        <f t="shared" si="0"/>
        <v>3</v>
      </c>
    </row>
    <row r="6" spans="2:9" x14ac:dyDescent="0.3">
      <c r="B6" s="27" t="str">
        <f>IFERROR(INDEX(Activos!$B$3:$C$16, MATCH(C6,Activos!$B$3:$B$16),2),"")</f>
        <v>conexión a Internet e incluso wifi</v>
      </c>
      <c r="C6" s="27" t="s">
        <v>87</v>
      </c>
      <c r="D6" s="27" t="s">
        <v>29</v>
      </c>
      <c r="E6" s="25" t="s">
        <v>27</v>
      </c>
      <c r="F6" s="26">
        <f>IF(E6='Tablas AR'!$B$4,1,IF('Análisis de Riesgos'!E6='Tablas AR'!$B$5,2,IF('Análisis de Riesgos'!E6='Tablas AR'!$B$6,3,"")))</f>
        <v>3</v>
      </c>
      <c r="G6" s="25" t="s">
        <v>27</v>
      </c>
      <c r="H6" s="26">
        <f>IF(G6='Tablas AR'!$B$10,1,IF('Análisis de Riesgos'!G6='Tablas AR'!$B$11,2,IF('Análisis de Riesgos'!G6='Tablas AR'!$B$12,3,"")))</f>
        <v>3</v>
      </c>
      <c r="I6" s="26">
        <f t="shared" si="0"/>
        <v>9</v>
      </c>
    </row>
    <row r="7" spans="2:9" x14ac:dyDescent="0.3">
      <c r="B7" s="27" t="str">
        <f>IFERROR(INDEX(Activos!$B$3:$C$16, MATCH(C7,Activos!$B$3:$B$16),2),"")</f>
        <v>conexión a Internet e incluso wifi</v>
      </c>
      <c r="C7" s="27" t="s">
        <v>87</v>
      </c>
      <c r="D7" s="27" t="s">
        <v>43</v>
      </c>
      <c r="E7" s="25"/>
      <c r="F7" s="26" t="str">
        <f>IF(E7='Tablas AR'!$B$4,1,IF('Análisis de Riesgos'!E7='Tablas AR'!$B$5,2,IF('Análisis de Riesgos'!E7='Tablas AR'!$B$6,3,"")))</f>
        <v/>
      </c>
      <c r="G7" s="25"/>
      <c r="H7" s="26" t="str">
        <f>IF(G7='Tablas AR'!$B$10,1,IF('Análisis de Riesgos'!G7='Tablas AR'!$B$11,2,IF('Análisis de Riesgos'!G7='Tablas AR'!$B$12,3,"")))</f>
        <v/>
      </c>
      <c r="I7" s="26" t="str">
        <f t="shared" si="0"/>
        <v/>
      </c>
    </row>
    <row r="8" spans="2:9" x14ac:dyDescent="0.3">
      <c r="B8" s="27" t="str">
        <f>IFERROR(INDEX(Activos!$B$3:$C$16, MATCH(C8,Activos!$B$3:$B$16),2),"")</f>
        <v/>
      </c>
      <c r="C8" s="27"/>
      <c r="D8" s="27"/>
      <c r="E8" s="25"/>
      <c r="F8" s="26" t="str">
        <f>IF(E8='Tablas AR'!$B$4,1,IF('Análisis de Riesgos'!E8='Tablas AR'!$B$5,2,IF('Análisis de Riesgos'!E8='Tablas AR'!$B$6,3,"")))</f>
        <v/>
      </c>
      <c r="G8" s="25"/>
      <c r="H8" s="26" t="str">
        <f>IF(G8='Tablas AR'!$B$10,1,IF('Análisis de Riesgos'!G8='Tablas AR'!$B$11,2,IF('Análisis de Riesgos'!G8='Tablas AR'!$B$12,3,"")))</f>
        <v/>
      </c>
      <c r="I8" s="26" t="str">
        <f t="shared" si="0"/>
        <v/>
      </c>
    </row>
    <row r="9" spans="2:9" x14ac:dyDescent="0.3">
      <c r="B9" s="27" t="str">
        <f>IFERROR(INDEX(Activos!$B$3:$C$16, MATCH(C9,Activos!$B$3:$B$16),2),"")</f>
        <v/>
      </c>
      <c r="C9" s="27"/>
      <c r="D9" s="27"/>
      <c r="E9" s="25"/>
      <c r="F9" s="26" t="str">
        <f>IF(E9='Tablas AR'!$B$4,1,IF('Análisis de Riesgos'!E9='Tablas AR'!$B$5,2,IF('Análisis de Riesgos'!E9='Tablas AR'!$B$6,3,"")))</f>
        <v/>
      </c>
      <c r="G9" s="25"/>
      <c r="H9" s="26" t="str">
        <f>IF(G9='Tablas AR'!$B$10,1,IF('Análisis de Riesgos'!G9='Tablas AR'!$B$11,2,IF('Análisis de Riesgos'!G9='Tablas AR'!$B$12,3,"")))</f>
        <v/>
      </c>
      <c r="I9" s="26" t="str">
        <f t="shared" si="0"/>
        <v/>
      </c>
    </row>
    <row r="10" spans="2:9" x14ac:dyDescent="0.3">
      <c r="B10" s="27" t="str">
        <f>IFERROR(INDEX(Activos!$B$3:$C$16, MATCH(C10,Activos!$B$3:$B$16),2),"")</f>
        <v/>
      </c>
      <c r="C10" s="27"/>
      <c r="D10" s="27"/>
      <c r="E10" s="25"/>
      <c r="F10" s="26" t="str">
        <f>IF(E10='Tablas AR'!$B$4,1,IF('Análisis de Riesgos'!E10='Tablas AR'!$B$5,2,IF('Análisis de Riesgos'!E10='Tablas AR'!$B$6,3,"")))</f>
        <v/>
      </c>
      <c r="G10" s="25"/>
      <c r="H10" s="26" t="str">
        <f>IF(G10='Tablas AR'!$B$10,1,IF('Análisis de Riesgos'!G10='Tablas AR'!$B$11,2,IF('Análisis de Riesgos'!G10='Tablas AR'!$B$12,3,"")))</f>
        <v/>
      </c>
      <c r="I10" s="26" t="str">
        <f t="shared" si="0"/>
        <v/>
      </c>
    </row>
    <row r="11" spans="2:9" x14ac:dyDescent="0.3">
      <c r="B11" s="27" t="str">
        <f>IFERROR(INDEX(Activos!$B$3:$C$16, MATCH(C11,Activos!$B$3:$B$16),2),"")</f>
        <v/>
      </c>
      <c r="C11" s="27"/>
      <c r="D11" s="27"/>
      <c r="E11" s="25"/>
      <c r="F11" s="26" t="str">
        <f>IF(E11='Tablas AR'!$B$4,1,IF('Análisis de Riesgos'!E11='Tablas AR'!$B$5,2,IF('Análisis de Riesgos'!E11='Tablas AR'!$B$6,3,"")))</f>
        <v/>
      </c>
      <c r="G11" s="25"/>
      <c r="H11" s="26" t="str">
        <f>IF(G11='Tablas AR'!$B$10,1,IF('Análisis de Riesgos'!G11='Tablas AR'!$B$11,2,IF('Análisis de Riesgos'!G11='Tablas AR'!$B$12,3,"")))</f>
        <v/>
      </c>
      <c r="I11" s="26" t="str">
        <f t="shared" si="0"/>
        <v/>
      </c>
    </row>
    <row r="12" spans="2:9" x14ac:dyDescent="0.3">
      <c r="B12" s="27" t="str">
        <f>IFERROR(INDEX(Activos!$B$3:$C$16, MATCH(C12,Activos!$B$3:$B$16),2),"")</f>
        <v/>
      </c>
      <c r="C12" s="27"/>
      <c r="D12" s="27"/>
      <c r="E12" s="25"/>
      <c r="F12" s="26" t="str">
        <f>IF(E12='Tablas AR'!$B$4,1,IF('Análisis de Riesgos'!E12='Tablas AR'!$B$5,2,IF('Análisis de Riesgos'!E12='Tablas AR'!$B$6,3,"")))</f>
        <v/>
      </c>
      <c r="G12" s="25"/>
      <c r="H12" s="26" t="str">
        <f>IF(G12='Tablas AR'!$B$10,1,IF('Análisis de Riesgos'!G12='Tablas AR'!$B$11,2,IF('Análisis de Riesgos'!G12='Tablas AR'!$B$12,3,"")))</f>
        <v/>
      </c>
      <c r="I12" s="26" t="str">
        <f t="shared" si="0"/>
        <v/>
      </c>
    </row>
    <row r="13" spans="2:9" x14ac:dyDescent="0.3">
      <c r="B13" s="27" t="str">
        <f>IFERROR(INDEX(Activos!$B$3:$C$16, MATCH(C13,Activos!$B$3:$B$16),2),"")</f>
        <v/>
      </c>
      <c r="C13" s="27"/>
      <c r="D13" s="27"/>
      <c r="E13" s="25"/>
      <c r="F13" s="26" t="str">
        <f>IF(E13='Tablas AR'!$B$4,1,IF('Análisis de Riesgos'!E13='Tablas AR'!$B$5,2,IF('Análisis de Riesgos'!E13='Tablas AR'!$B$6,3,"")))</f>
        <v/>
      </c>
      <c r="G13" s="25"/>
      <c r="H13" s="26" t="str">
        <f>IF(G13='Tablas AR'!$B$10,1,IF('Análisis de Riesgos'!G13='Tablas AR'!$B$11,2,IF('Análisis de Riesgos'!G13='Tablas AR'!$B$12,3,"")))</f>
        <v/>
      </c>
      <c r="I13" s="26" t="str">
        <f t="shared" si="0"/>
        <v/>
      </c>
    </row>
    <row r="14" spans="2:9" x14ac:dyDescent="0.3">
      <c r="B14" s="27" t="str">
        <f>IFERROR(INDEX(Activos!$B$3:$C$16, MATCH(C14,Activos!$B$3:$B$16),2),"")</f>
        <v/>
      </c>
      <c r="C14" s="27"/>
      <c r="D14" s="27"/>
      <c r="E14" s="25"/>
      <c r="F14" s="26" t="str">
        <f>IF(E14='Tablas AR'!$B$4,1,IF('Análisis de Riesgos'!E14='Tablas AR'!$B$5,2,IF('Análisis de Riesgos'!E14='Tablas AR'!$B$6,3,"")))</f>
        <v/>
      </c>
      <c r="G14" s="25"/>
      <c r="H14" s="26" t="str">
        <f>IF(G14='Tablas AR'!$B$10,1,IF('Análisis de Riesgos'!G14='Tablas AR'!$B$11,2,IF('Análisis de Riesgos'!G14='Tablas AR'!$B$12,3,"")))</f>
        <v/>
      </c>
      <c r="I14" s="26" t="str">
        <f t="shared" si="0"/>
        <v/>
      </c>
    </row>
    <row r="15" spans="2:9" x14ac:dyDescent="0.3">
      <c r="B15" s="27" t="str">
        <f>IFERROR(INDEX(Activos!$B$3:$C$16, MATCH(C15,Activos!$B$3:$B$16),2),"")</f>
        <v/>
      </c>
      <c r="C15" s="27"/>
      <c r="D15" s="27"/>
      <c r="E15" s="25"/>
      <c r="F15" s="26" t="str">
        <f>IF(E15='Tablas AR'!$B$4,1,IF('Análisis de Riesgos'!E15='Tablas AR'!$B$5,2,IF('Análisis de Riesgos'!E15='Tablas AR'!$B$6,3,"")))</f>
        <v/>
      </c>
      <c r="G15" s="25"/>
      <c r="H15" s="26" t="str">
        <f>IF(G15='Tablas AR'!$B$10,1,IF('Análisis de Riesgos'!G15='Tablas AR'!$B$11,2,IF('Análisis de Riesgos'!G15='Tablas AR'!$B$12,3,"")))</f>
        <v/>
      </c>
      <c r="I15" s="26" t="str">
        <f t="shared" si="0"/>
        <v/>
      </c>
    </row>
    <row r="16" spans="2:9" x14ac:dyDescent="0.3">
      <c r="B16" s="27" t="str">
        <f>IFERROR(INDEX(Activos!$B$3:$C$16, MATCH(C16,Activos!$B$3:$B$16),2),"")</f>
        <v/>
      </c>
      <c r="C16" s="27"/>
      <c r="D16" s="27"/>
      <c r="E16" s="25"/>
      <c r="F16" s="26" t="str">
        <f>IF(E16='Tablas AR'!$B$4,1,IF('Análisis de Riesgos'!E16='Tablas AR'!$B$5,2,IF('Análisis de Riesgos'!E16='Tablas AR'!$B$6,3,"")))</f>
        <v/>
      </c>
      <c r="G16" s="25"/>
      <c r="H16" s="26" t="str">
        <f>IF(G16='Tablas AR'!$B$10,1,IF('Análisis de Riesgos'!G16='Tablas AR'!$B$11,2,IF('Análisis de Riesgos'!G16='Tablas AR'!$B$12,3,"")))</f>
        <v/>
      </c>
      <c r="I16" s="26" t="str">
        <f t="shared" si="0"/>
        <v/>
      </c>
    </row>
    <row r="17" spans="2:9" x14ac:dyDescent="0.3">
      <c r="B17" s="27" t="str">
        <f>IFERROR(INDEX(Activos!$B$3:$C$16, MATCH(C17,Activos!$B$3:$B$16),2),"")</f>
        <v/>
      </c>
      <c r="C17" s="27"/>
      <c r="D17" s="27"/>
      <c r="E17" s="25"/>
      <c r="F17" s="26" t="str">
        <f>IF(E17='Tablas AR'!$B$4,1,IF('Análisis de Riesgos'!E17='Tablas AR'!$B$5,2,IF('Análisis de Riesgos'!E17='Tablas AR'!$B$6,3,"")))</f>
        <v/>
      </c>
      <c r="G17" s="25"/>
      <c r="H17" s="26" t="str">
        <f>IF(G17='Tablas AR'!$B$10,1,IF('Análisis de Riesgos'!G17='Tablas AR'!$B$11,2,IF('Análisis de Riesgos'!G17='Tablas AR'!$B$12,3,"")))</f>
        <v/>
      </c>
      <c r="I17" s="26" t="str">
        <f t="shared" si="0"/>
        <v/>
      </c>
    </row>
    <row r="18" spans="2:9" x14ac:dyDescent="0.3">
      <c r="B18" s="27" t="str">
        <f>IFERROR(INDEX(Activos!$B$3:$C$16, MATCH(C18,Activos!$B$3:$B$16),2),"")</f>
        <v/>
      </c>
      <c r="C18" s="27"/>
      <c r="D18" s="27"/>
      <c r="E18" s="25"/>
      <c r="F18" s="26" t="str">
        <f>IF(E18='Tablas AR'!$B$4,1,IF('Análisis de Riesgos'!E18='Tablas AR'!$B$5,2,IF('Análisis de Riesgos'!E18='Tablas AR'!$B$6,3,"")))</f>
        <v/>
      </c>
      <c r="G18" s="25"/>
      <c r="H18" s="26" t="str">
        <f>IF(G18='Tablas AR'!$B$10,1,IF('Análisis de Riesgos'!G18='Tablas AR'!$B$11,2,IF('Análisis de Riesgos'!G18='Tablas AR'!$B$12,3,"")))</f>
        <v/>
      </c>
      <c r="I18" s="26" t="str">
        <f t="shared" si="0"/>
        <v/>
      </c>
    </row>
    <row r="19" spans="2:9" x14ac:dyDescent="0.3">
      <c r="B19" s="27" t="str">
        <f>IFERROR(INDEX(Activos!$B$3:$C$16, MATCH(C19,Activos!$B$3:$B$16),2),"")</f>
        <v/>
      </c>
      <c r="C19" s="27"/>
      <c r="D19" s="27"/>
      <c r="E19" s="25"/>
      <c r="F19" s="26" t="str">
        <f>IF(E19='Tablas AR'!$B$4,1,IF('Análisis de Riesgos'!E19='Tablas AR'!$B$5,2,IF('Análisis de Riesgos'!E19='Tablas AR'!$B$6,3,"")))</f>
        <v/>
      </c>
      <c r="G19" s="25"/>
      <c r="H19" s="26" t="str">
        <f>IF(G19='Tablas AR'!$B$10,1,IF('Análisis de Riesgos'!G19='Tablas AR'!$B$11,2,IF('Análisis de Riesgos'!G19='Tablas AR'!$B$12,3,"")))</f>
        <v/>
      </c>
      <c r="I19" s="26" t="str">
        <f t="shared" si="0"/>
        <v/>
      </c>
    </row>
    <row r="20" spans="2:9" x14ac:dyDescent="0.3">
      <c r="B20" s="27" t="str">
        <f>IFERROR(INDEX(Activos!$B$3:$C$16, MATCH(C20,Activos!$B$3:$B$16),2),"")</f>
        <v/>
      </c>
      <c r="C20" s="27"/>
      <c r="D20" s="27"/>
      <c r="E20" s="25"/>
      <c r="F20" s="26" t="str">
        <f>IF(E20='Tablas AR'!$B$4,1,IF('Análisis de Riesgos'!E20='Tablas AR'!$B$5,2,IF('Análisis de Riesgos'!E20='Tablas AR'!$B$6,3,"")))</f>
        <v/>
      </c>
      <c r="G20" s="25"/>
      <c r="H20" s="26" t="str">
        <f>IF(G20='Tablas AR'!$B$10,1,IF('Análisis de Riesgos'!G20='Tablas AR'!$B$11,2,IF('Análisis de Riesgos'!G20='Tablas AR'!$B$12,3,"")))</f>
        <v/>
      </c>
      <c r="I20" s="26" t="str">
        <f t="shared" si="0"/>
        <v/>
      </c>
    </row>
    <row r="21" spans="2:9" x14ac:dyDescent="0.3">
      <c r="B21" s="27" t="str">
        <f>IFERROR(INDEX(Activos!$B$3:$C$16, MATCH(C21,Activos!$B$3:$B$16),2),"")</f>
        <v/>
      </c>
      <c r="C21" s="27"/>
      <c r="D21" s="27"/>
      <c r="E21" s="25"/>
      <c r="F21" s="26" t="str">
        <f>IF(E21='Tablas AR'!$B$4,1,IF('Análisis de Riesgos'!E21='Tablas AR'!$B$5,2,IF('Análisis de Riesgos'!E21='Tablas AR'!$B$6,3,"")))</f>
        <v/>
      </c>
      <c r="G21" s="25"/>
      <c r="H21" s="26" t="str">
        <f>IF(G21='Tablas AR'!$B$10,1,IF('Análisis de Riesgos'!G21='Tablas AR'!$B$11,2,IF('Análisis de Riesgos'!G21='Tablas AR'!$B$12,3,"")))</f>
        <v/>
      </c>
      <c r="I21" s="26" t="str">
        <f t="shared" si="0"/>
        <v/>
      </c>
    </row>
    <row r="22" spans="2:9" x14ac:dyDescent="0.3">
      <c r="B22" s="27" t="str">
        <f>IFERROR(INDEX(Activos!$B$3:$C$16, MATCH(C22,Activos!$B$3:$B$16),2),"")</f>
        <v/>
      </c>
      <c r="C22" s="27"/>
      <c r="D22" s="27"/>
      <c r="E22" s="25"/>
      <c r="F22" s="26" t="str">
        <f>IF(E22='Tablas AR'!$B$4,1,IF('Análisis de Riesgos'!E22='Tablas AR'!$B$5,2,IF('Análisis de Riesgos'!E22='Tablas AR'!$B$6,3,"")))</f>
        <v/>
      </c>
      <c r="G22" s="25"/>
      <c r="H22" s="26" t="str">
        <f>IF(G22='Tablas AR'!$B$10,1,IF('Análisis de Riesgos'!G22='Tablas AR'!$B$11,2,IF('Análisis de Riesgos'!G22='Tablas AR'!$B$12,3,"")))</f>
        <v/>
      </c>
      <c r="I22" s="26" t="str">
        <f t="shared" si="0"/>
        <v/>
      </c>
    </row>
    <row r="23" spans="2:9" x14ac:dyDescent="0.3">
      <c r="B23" s="27" t="str">
        <f>IFERROR(INDEX(Activos!$B$3:$C$16, MATCH(C23,Activos!$B$3:$B$16),2),"")</f>
        <v/>
      </c>
      <c r="C23" s="27"/>
      <c r="D23" s="27"/>
      <c r="E23" s="25"/>
      <c r="F23" s="26" t="str">
        <f>IF(E23='Tablas AR'!$B$4,1,IF('Análisis de Riesgos'!E23='Tablas AR'!$B$5,2,IF('Análisis de Riesgos'!E23='Tablas AR'!$B$6,3,"")))</f>
        <v/>
      </c>
      <c r="G23" s="25"/>
      <c r="H23" s="26" t="str">
        <f>IF(G23='Tablas AR'!$B$10,1,IF('Análisis de Riesgos'!G23='Tablas AR'!$B$11,2,IF('Análisis de Riesgos'!G23='Tablas AR'!$B$12,3,"")))</f>
        <v/>
      </c>
      <c r="I23" s="26" t="str">
        <f t="shared" si="0"/>
        <v/>
      </c>
    </row>
    <row r="24" spans="2:9" x14ac:dyDescent="0.3">
      <c r="B24" s="27" t="str">
        <f>IFERROR(INDEX(Activos!$B$3:$C$16, MATCH(C24,Activos!$B$3:$B$16),2),"")</f>
        <v/>
      </c>
      <c r="C24" s="27"/>
      <c r="D24" s="27"/>
      <c r="E24" s="25"/>
      <c r="F24" s="26" t="str">
        <f>IF(E24='Tablas AR'!$B$4,1,IF('Análisis de Riesgos'!E24='Tablas AR'!$B$5,2,IF('Análisis de Riesgos'!E24='Tablas AR'!$B$6,3,"")))</f>
        <v/>
      </c>
      <c r="G24" s="25"/>
      <c r="H24" s="26" t="str">
        <f>IF(G24='Tablas AR'!$B$10,1,IF('Análisis de Riesgos'!G24='Tablas AR'!$B$11,2,IF('Análisis de Riesgos'!G24='Tablas AR'!$B$12,3,"")))</f>
        <v/>
      </c>
      <c r="I24" s="26" t="str">
        <f t="shared" si="0"/>
        <v/>
      </c>
    </row>
    <row r="25" spans="2:9" x14ac:dyDescent="0.3">
      <c r="B25" s="27" t="str">
        <f>IFERROR(INDEX(Activos!$B$3:$C$16, MATCH(C25,Activos!$B$3:$B$16),2),"")</f>
        <v/>
      </c>
      <c r="C25" s="27"/>
      <c r="D25" s="27"/>
      <c r="E25" s="25"/>
      <c r="F25" s="26" t="str">
        <f>IF(E25='Tablas AR'!$B$4,1,IF('Análisis de Riesgos'!E25='Tablas AR'!$B$5,2,IF('Análisis de Riesgos'!E25='Tablas AR'!$B$6,3,"")))</f>
        <v/>
      </c>
      <c r="G25" s="25"/>
      <c r="H25" s="26" t="str">
        <f>IF(G25='Tablas AR'!$B$10,1,IF('Análisis de Riesgos'!G25='Tablas AR'!$B$11,2,IF('Análisis de Riesgos'!G25='Tablas AR'!$B$12,3,"")))</f>
        <v/>
      </c>
      <c r="I25" s="26" t="str">
        <f t="shared" si="0"/>
        <v/>
      </c>
    </row>
    <row r="26" spans="2:9" x14ac:dyDescent="0.3">
      <c r="B26" s="27" t="str">
        <f>IFERROR(INDEX(Activos!$B$3:$C$16, MATCH(C26,Activos!$B$3:$B$16),2),"")</f>
        <v/>
      </c>
      <c r="C26" s="27"/>
      <c r="D26" s="27"/>
      <c r="E26" s="25"/>
      <c r="F26" s="26" t="str">
        <f>IF(E26='Tablas AR'!$B$4,1,IF('Análisis de Riesgos'!E26='Tablas AR'!$B$5,2,IF('Análisis de Riesgos'!E26='Tablas AR'!$B$6,3,"")))</f>
        <v/>
      </c>
      <c r="G26" s="25"/>
      <c r="H26" s="26" t="str">
        <f>IF(G26='Tablas AR'!$B$10,1,IF('Análisis de Riesgos'!G26='Tablas AR'!$B$11,2,IF('Análisis de Riesgos'!G26='Tablas AR'!$B$12,3,"")))</f>
        <v/>
      </c>
      <c r="I26" s="26" t="str">
        <f t="shared" si="0"/>
        <v/>
      </c>
    </row>
    <row r="27" spans="2:9" x14ac:dyDescent="0.3">
      <c r="B27" s="27" t="str">
        <f>IFERROR(INDEX(Activos!$B$3:$C$16, MATCH(C27,Activos!$B$3:$B$16),2),"")</f>
        <v/>
      </c>
      <c r="C27" s="27"/>
      <c r="D27" s="27"/>
      <c r="E27" s="25"/>
      <c r="F27" s="26" t="str">
        <f>IF(E27='Tablas AR'!$B$4,1,IF('Análisis de Riesgos'!E27='Tablas AR'!$B$5,2,IF('Análisis de Riesgos'!E27='Tablas AR'!$B$6,3,"")))</f>
        <v/>
      </c>
      <c r="G27" s="25"/>
      <c r="H27" s="26" t="str">
        <f>IF(G27='Tablas AR'!$B$10,1,IF('Análisis de Riesgos'!G27='Tablas AR'!$B$11,2,IF('Análisis de Riesgos'!G27='Tablas AR'!$B$12,3,"")))</f>
        <v/>
      </c>
      <c r="I27" s="26" t="str">
        <f t="shared" si="0"/>
        <v/>
      </c>
    </row>
    <row r="28" spans="2:9" x14ac:dyDescent="0.3">
      <c r="B28" s="27" t="str">
        <f>IFERROR(INDEX(Activos!$B$3:$C$16, MATCH(C28,Activos!$B$3:$B$16),2),"")</f>
        <v/>
      </c>
      <c r="C28" s="27"/>
      <c r="D28" s="27"/>
      <c r="E28" s="25"/>
      <c r="F28" s="26" t="str">
        <f>IF(E28='Tablas AR'!$B$4,1,IF('Análisis de Riesgos'!E28='Tablas AR'!$B$5,2,IF('Análisis de Riesgos'!E28='Tablas AR'!$B$6,3,"")))</f>
        <v/>
      </c>
      <c r="G28" s="25"/>
      <c r="H28" s="26" t="str">
        <f>IF(G28='Tablas AR'!$B$10,1,IF('Análisis de Riesgos'!G28='Tablas AR'!$B$11,2,IF('Análisis de Riesgos'!G28='Tablas AR'!$B$12,3,"")))</f>
        <v/>
      </c>
      <c r="I28" s="26" t="str">
        <f t="shared" si="0"/>
        <v/>
      </c>
    </row>
    <row r="29" spans="2:9" x14ac:dyDescent="0.3">
      <c r="B29" s="27" t="str">
        <f>IFERROR(INDEX(Activos!$B$3:$C$16, MATCH(C29,Activos!$B$3:$B$16),2),"")</f>
        <v/>
      </c>
      <c r="C29" s="27"/>
      <c r="D29" s="27"/>
      <c r="E29" s="25"/>
      <c r="F29" s="26" t="str">
        <f>IF(E29='Tablas AR'!$B$4,1,IF('Análisis de Riesgos'!E29='Tablas AR'!$B$5,2,IF('Análisis de Riesgos'!E29='Tablas AR'!$B$6,3,"")))</f>
        <v/>
      </c>
      <c r="G29" s="25"/>
      <c r="H29" s="26" t="str">
        <f>IF(G29='Tablas AR'!$B$10,1,IF('Análisis de Riesgos'!G29='Tablas AR'!$B$11,2,IF('Análisis de Riesgos'!G29='Tablas AR'!$B$12,3,"")))</f>
        <v/>
      </c>
      <c r="I29" s="26" t="str">
        <f t="shared" si="0"/>
        <v/>
      </c>
    </row>
    <row r="30" spans="2:9" x14ac:dyDescent="0.3">
      <c r="B30" s="27" t="str">
        <f>IFERROR(INDEX(Activos!$B$3:$C$16, MATCH(C30,Activos!$B$3:$B$16),2),"")</f>
        <v/>
      </c>
      <c r="C30" s="27"/>
      <c r="D30" s="27"/>
      <c r="E30" s="25"/>
      <c r="F30" s="26" t="str">
        <f>IF(E30='Tablas AR'!$B$4,1,IF('Análisis de Riesgos'!E30='Tablas AR'!$B$5,2,IF('Análisis de Riesgos'!E30='Tablas AR'!$B$6,3,"")))</f>
        <v/>
      </c>
      <c r="G30" s="25"/>
      <c r="H30" s="26" t="str">
        <f>IF(G30='Tablas AR'!$B$10,1,IF('Análisis de Riesgos'!G30='Tablas AR'!$B$11,2,IF('Análisis de Riesgos'!G30='Tablas AR'!$B$12,3,"")))</f>
        <v/>
      </c>
      <c r="I30" s="26" t="str">
        <f t="shared" si="0"/>
        <v/>
      </c>
    </row>
    <row r="31" spans="2:9" x14ac:dyDescent="0.3">
      <c r="B31" s="27" t="str">
        <f>IFERROR(INDEX(Activos!$B$3:$C$16, MATCH(C31,Activos!$B$3:$B$16),2),"")</f>
        <v/>
      </c>
      <c r="C31" s="27"/>
      <c r="D31" s="27"/>
      <c r="E31" s="25"/>
      <c r="F31" s="26" t="str">
        <f>IF(E31='Tablas AR'!$B$4,1,IF('Análisis de Riesgos'!E31='Tablas AR'!$B$5,2,IF('Análisis de Riesgos'!E31='Tablas AR'!$B$6,3,"")))</f>
        <v/>
      </c>
      <c r="G31" s="25"/>
      <c r="H31" s="26" t="str">
        <f>IF(G31='Tablas AR'!$B$10,1,IF('Análisis de Riesgos'!G31='Tablas AR'!$B$11,2,IF('Análisis de Riesgos'!G31='Tablas AR'!$B$12,3,"")))</f>
        <v/>
      </c>
      <c r="I31" s="26" t="str">
        <f t="shared" si="0"/>
        <v/>
      </c>
    </row>
    <row r="32" spans="2:9" x14ac:dyDescent="0.3">
      <c r="B32" s="27" t="str">
        <f>IFERROR(INDEX(Activos!$B$3:$C$16, MATCH(C32,Activos!$B$3:$B$16),2),"")</f>
        <v/>
      </c>
      <c r="C32" s="27"/>
      <c r="D32" s="27"/>
      <c r="E32" s="25"/>
      <c r="F32" s="26" t="str">
        <f>IF(E32='Tablas AR'!$B$4,1,IF('Análisis de Riesgos'!E32='Tablas AR'!$B$5,2,IF('Análisis de Riesgos'!E32='Tablas AR'!$B$6,3,"")))</f>
        <v/>
      </c>
      <c r="G32" s="25"/>
      <c r="H32" s="26" t="str">
        <f>IF(G32='Tablas AR'!$B$10,1,IF('Análisis de Riesgos'!G32='Tablas AR'!$B$11,2,IF('Análisis de Riesgos'!G32='Tablas AR'!$B$12,3,"")))</f>
        <v/>
      </c>
      <c r="I32" s="26" t="str">
        <f t="shared" si="0"/>
        <v/>
      </c>
    </row>
    <row r="33" spans="2:9" x14ac:dyDescent="0.3">
      <c r="B33" s="27" t="str">
        <f>IFERROR(INDEX(Activos!$B$3:$C$16, MATCH(C33,Activos!$B$3:$B$16),2),"")</f>
        <v/>
      </c>
      <c r="C33" s="27"/>
      <c r="D33" s="27"/>
      <c r="E33" s="25"/>
      <c r="F33" s="26" t="str">
        <f>IF(E33='Tablas AR'!$B$4,1,IF('Análisis de Riesgos'!E33='Tablas AR'!$B$5,2,IF('Análisis de Riesgos'!E33='Tablas AR'!$B$6,3,"")))</f>
        <v/>
      </c>
      <c r="G33" s="25"/>
      <c r="H33" s="26" t="str">
        <f>IF(G33='Tablas AR'!$B$10,1,IF('Análisis de Riesgos'!G33='Tablas AR'!$B$11,2,IF('Análisis de Riesgos'!G33='Tablas AR'!$B$12,3,"")))</f>
        <v/>
      </c>
      <c r="I33" s="26" t="str">
        <f t="shared" si="0"/>
        <v/>
      </c>
    </row>
    <row r="34" spans="2:9" x14ac:dyDescent="0.3">
      <c r="B34" s="27" t="str">
        <f>IFERROR(INDEX(Activos!$B$3:$C$16, MATCH(C34,Activos!$B$3:$B$16),2),"")</f>
        <v/>
      </c>
      <c r="C34" s="27"/>
      <c r="D34" s="27"/>
      <c r="E34" s="25"/>
      <c r="F34" s="26" t="str">
        <f>IF(E34='Tablas AR'!$B$4,1,IF('Análisis de Riesgos'!E34='Tablas AR'!$B$5,2,IF('Análisis de Riesgos'!E34='Tablas AR'!$B$6,3,"")))</f>
        <v/>
      </c>
      <c r="G34" s="25"/>
      <c r="H34" s="26" t="str">
        <f>IF(G34='Tablas AR'!$B$10,1,IF('Análisis de Riesgos'!G34='Tablas AR'!$B$11,2,IF('Análisis de Riesgos'!G34='Tablas AR'!$B$12,3,"")))</f>
        <v/>
      </c>
      <c r="I34" s="26" t="str">
        <f t="shared" si="0"/>
        <v/>
      </c>
    </row>
    <row r="35" spans="2:9" x14ac:dyDescent="0.3">
      <c r="B35" s="27" t="str">
        <f>IFERROR(INDEX(Activos!$B$3:$C$16, MATCH(C35,Activos!$B$3:$B$16),2),"")</f>
        <v/>
      </c>
      <c r="C35" s="27"/>
      <c r="D35" s="27"/>
      <c r="E35" s="25"/>
      <c r="F35" s="26" t="str">
        <f>IF(E35='Tablas AR'!$B$4,1,IF('Análisis de Riesgos'!E35='Tablas AR'!$B$5,2,IF('Análisis de Riesgos'!E35='Tablas AR'!$B$6,3,"")))</f>
        <v/>
      </c>
      <c r="G35" s="25"/>
      <c r="H35" s="26" t="str">
        <f>IF(G35='Tablas AR'!$B$10,1,IF('Análisis de Riesgos'!G35='Tablas AR'!$B$11,2,IF('Análisis de Riesgos'!G35='Tablas AR'!$B$12,3,"")))</f>
        <v/>
      </c>
      <c r="I35" s="26" t="str">
        <f t="shared" si="0"/>
        <v/>
      </c>
    </row>
    <row r="36" spans="2:9" x14ac:dyDescent="0.3">
      <c r="B36" s="27" t="str">
        <f>IFERROR(INDEX(Activos!$B$3:$C$16, MATCH(C36,Activos!$B$3:$B$16),2),"")</f>
        <v/>
      </c>
      <c r="C36" s="27"/>
      <c r="D36" s="27"/>
      <c r="E36" s="25"/>
      <c r="F36" s="26" t="str">
        <f>IF(E36='Tablas AR'!$B$4,1,IF('Análisis de Riesgos'!E36='Tablas AR'!$B$5,2,IF('Análisis de Riesgos'!E36='Tablas AR'!$B$6,3,"")))</f>
        <v/>
      </c>
      <c r="G36" s="25"/>
      <c r="H36" s="26" t="str">
        <f>IF(G36='Tablas AR'!$B$10,1,IF('Análisis de Riesgos'!G36='Tablas AR'!$B$11,2,IF('Análisis de Riesgos'!G36='Tablas AR'!$B$12,3,"")))</f>
        <v/>
      </c>
      <c r="I36" s="26" t="str">
        <f t="shared" si="0"/>
        <v/>
      </c>
    </row>
    <row r="37" spans="2:9" x14ac:dyDescent="0.3">
      <c r="B37" s="27" t="str">
        <f>IFERROR(INDEX(Activos!$B$3:$C$16, MATCH(C37,Activos!$B$3:$B$16),2),"")</f>
        <v/>
      </c>
      <c r="C37" s="27"/>
      <c r="D37" s="27"/>
      <c r="E37" s="25"/>
      <c r="F37" s="26" t="str">
        <f>IF(E37='Tablas AR'!$B$4,1,IF('Análisis de Riesgos'!E37='Tablas AR'!$B$5,2,IF('Análisis de Riesgos'!E37='Tablas AR'!$B$6,3,"")))</f>
        <v/>
      </c>
      <c r="G37" s="25"/>
      <c r="H37" s="26" t="str">
        <f>IF(G37='Tablas AR'!$B$10,1,IF('Análisis de Riesgos'!G37='Tablas AR'!$B$11,2,IF('Análisis de Riesgos'!G37='Tablas AR'!$B$12,3,"")))</f>
        <v/>
      </c>
      <c r="I37" s="26" t="str">
        <f t="shared" si="0"/>
        <v/>
      </c>
    </row>
    <row r="38" spans="2:9" x14ac:dyDescent="0.3">
      <c r="B38" s="27" t="str">
        <f>IFERROR(INDEX(Activos!$B$3:$C$16, MATCH(C38,Activos!$B$3:$B$16),2),"")</f>
        <v/>
      </c>
      <c r="C38" s="27"/>
      <c r="D38" s="27"/>
      <c r="E38" s="25"/>
      <c r="F38" s="26" t="str">
        <f>IF(E38='Tablas AR'!$B$4,1,IF('Análisis de Riesgos'!E38='Tablas AR'!$B$5,2,IF('Análisis de Riesgos'!E38='Tablas AR'!$B$6,3,"")))</f>
        <v/>
      </c>
      <c r="G38" s="25"/>
      <c r="H38" s="26" t="str">
        <f>IF(G38='Tablas AR'!$B$10,1,IF('Análisis de Riesgos'!G38='Tablas AR'!$B$11,2,IF('Análisis de Riesgos'!G38='Tablas AR'!$B$12,3,"")))</f>
        <v/>
      </c>
      <c r="I38" s="26" t="str">
        <f t="shared" si="0"/>
        <v/>
      </c>
    </row>
    <row r="39" spans="2:9" x14ac:dyDescent="0.3">
      <c r="B39" s="27" t="str">
        <f>IFERROR(INDEX(Activos!$B$3:$C$16, MATCH(C39,Activos!$B$3:$B$16),2),"")</f>
        <v/>
      </c>
      <c r="C39" s="27"/>
      <c r="D39" s="27"/>
      <c r="E39" s="25"/>
      <c r="F39" s="26" t="str">
        <f>IF(E39='Tablas AR'!$B$4,1,IF('Análisis de Riesgos'!E39='Tablas AR'!$B$5,2,IF('Análisis de Riesgos'!E39='Tablas AR'!$B$6,3,"")))</f>
        <v/>
      </c>
      <c r="G39" s="25"/>
      <c r="H39" s="26" t="str">
        <f>IF(G39='Tablas AR'!$B$10,1,IF('Análisis de Riesgos'!G39='Tablas AR'!$B$11,2,IF('Análisis de Riesgos'!G39='Tablas AR'!$B$12,3,"")))</f>
        <v/>
      </c>
      <c r="I39" s="26" t="str">
        <f t="shared" si="0"/>
        <v/>
      </c>
    </row>
    <row r="40" spans="2:9" x14ac:dyDescent="0.3">
      <c r="B40" s="27" t="str">
        <f>IFERROR(INDEX(Activos!$B$3:$C$16, MATCH(C40,Activos!$B$3:$B$16),2),"")</f>
        <v/>
      </c>
      <c r="C40" s="27"/>
      <c r="D40" s="27"/>
      <c r="E40" s="25"/>
      <c r="F40" s="26" t="str">
        <f>IF(E40='Tablas AR'!$B$4,1,IF('Análisis de Riesgos'!E40='Tablas AR'!$B$5,2,IF('Análisis de Riesgos'!E40='Tablas AR'!$B$6,3,"")))</f>
        <v/>
      </c>
      <c r="G40" s="25"/>
      <c r="H40" s="26" t="str">
        <f>IF(G40='Tablas AR'!$B$10,1,IF('Análisis de Riesgos'!G40='Tablas AR'!$B$11,2,IF('Análisis de Riesgos'!G40='Tablas AR'!$B$12,3,"")))</f>
        <v/>
      </c>
      <c r="I40" s="26" t="str">
        <f t="shared" si="0"/>
        <v/>
      </c>
    </row>
    <row r="41" spans="2:9" x14ac:dyDescent="0.3">
      <c r="B41" s="27" t="str">
        <f>IFERROR(INDEX(Activos!$B$3:$C$16, MATCH(C41,Activos!$B$3:$B$16),2),"")</f>
        <v/>
      </c>
      <c r="C41" s="27"/>
      <c r="D41" s="27"/>
      <c r="E41" s="25"/>
      <c r="F41" s="26" t="str">
        <f>IF(E41='Tablas AR'!$B$4,1,IF('Análisis de Riesgos'!E41='Tablas AR'!$B$5,2,IF('Análisis de Riesgos'!E41='Tablas AR'!$B$6,3,"")))</f>
        <v/>
      </c>
      <c r="G41" s="25"/>
      <c r="H41" s="26" t="str">
        <f>IF(G41='Tablas AR'!$B$10,1,IF('Análisis de Riesgos'!G41='Tablas AR'!$B$11,2,IF('Análisis de Riesgos'!G41='Tablas AR'!$B$12,3,"")))</f>
        <v/>
      </c>
      <c r="I41" s="26" t="str">
        <f t="shared" si="0"/>
        <v/>
      </c>
    </row>
    <row r="42" spans="2:9" x14ac:dyDescent="0.3">
      <c r="B42" s="27" t="str">
        <f>IFERROR(INDEX(Activos!$B$3:$C$16, MATCH(C42,Activos!$B$3:$B$16),2),"")</f>
        <v/>
      </c>
      <c r="C42" s="27"/>
      <c r="D42" s="27"/>
      <c r="E42" s="25"/>
      <c r="F42" s="26" t="str">
        <f>IF(E42='Tablas AR'!$B$4,1,IF('Análisis de Riesgos'!E42='Tablas AR'!$B$5,2,IF('Análisis de Riesgos'!E42='Tablas AR'!$B$6,3,"")))</f>
        <v/>
      </c>
      <c r="G42" s="25"/>
      <c r="H42" s="26" t="str">
        <f>IF(G42='Tablas AR'!$B$10,1,IF('Análisis de Riesgos'!G42='Tablas AR'!$B$11,2,IF('Análisis de Riesgos'!G42='Tablas AR'!$B$12,3,"")))</f>
        <v/>
      </c>
      <c r="I42" s="26" t="str">
        <f t="shared" si="0"/>
        <v/>
      </c>
    </row>
    <row r="43" spans="2:9" x14ac:dyDescent="0.3">
      <c r="B43" s="27" t="str">
        <f>IFERROR(INDEX(Activos!$B$3:$C$16, MATCH(C43,Activos!$B$3:$B$16),2),"")</f>
        <v/>
      </c>
      <c r="C43" s="27"/>
      <c r="D43" s="27"/>
      <c r="E43" s="25"/>
      <c r="F43" s="26" t="str">
        <f>IF(E43='Tablas AR'!$B$4,1,IF('Análisis de Riesgos'!E43='Tablas AR'!$B$5,2,IF('Análisis de Riesgos'!E43='Tablas AR'!$B$6,3,"")))</f>
        <v/>
      </c>
      <c r="G43" s="25"/>
      <c r="H43" s="26" t="str">
        <f>IF(G43='Tablas AR'!$B$10,1,IF('Análisis de Riesgos'!G43='Tablas AR'!$B$11,2,IF('Análisis de Riesgos'!G43='Tablas AR'!$B$12,3,"")))</f>
        <v/>
      </c>
      <c r="I43" s="26" t="str">
        <f t="shared" si="0"/>
        <v/>
      </c>
    </row>
    <row r="44" spans="2:9" x14ac:dyDescent="0.3">
      <c r="B44" s="27" t="str">
        <f>IFERROR(INDEX(Activos!$B$3:$C$16, MATCH(C44,Activos!$B$3:$B$16),2),"")</f>
        <v/>
      </c>
      <c r="C44" s="27"/>
      <c r="D44" s="27"/>
      <c r="E44" s="25"/>
      <c r="F44" s="26" t="str">
        <f>IF(E44='Tablas AR'!$B$4,1,IF('Análisis de Riesgos'!E44='Tablas AR'!$B$5,2,IF('Análisis de Riesgos'!E44='Tablas AR'!$B$6,3,"")))</f>
        <v/>
      </c>
      <c r="G44" s="25"/>
      <c r="H44" s="26" t="str">
        <f>IF(G44='Tablas AR'!$B$10,1,IF('Análisis de Riesgos'!G44='Tablas AR'!$B$11,2,IF('Análisis de Riesgos'!G44='Tablas AR'!$B$12,3,"")))</f>
        <v/>
      </c>
      <c r="I44" s="26" t="str">
        <f t="shared" si="0"/>
        <v/>
      </c>
    </row>
    <row r="45" spans="2:9" x14ac:dyDescent="0.3">
      <c r="B45" s="27" t="str">
        <f>IFERROR(INDEX(Activos!$B$3:$C$16, MATCH(C45,Activos!$B$3:$B$16),2),"")</f>
        <v/>
      </c>
      <c r="C45" s="27"/>
      <c r="D45" s="27"/>
      <c r="E45" s="25"/>
      <c r="F45" s="26" t="str">
        <f>IF(E45='Tablas AR'!$B$4,1,IF('Análisis de Riesgos'!E45='Tablas AR'!$B$5,2,IF('Análisis de Riesgos'!E45='Tablas AR'!$B$6,3,"")))</f>
        <v/>
      </c>
      <c r="G45" s="25"/>
      <c r="H45" s="26" t="str">
        <f>IF(G45='Tablas AR'!$B$10,1,IF('Análisis de Riesgos'!G45='Tablas AR'!$B$11,2,IF('Análisis de Riesgos'!G45='Tablas AR'!$B$12,3,"")))</f>
        <v/>
      </c>
      <c r="I45" s="26" t="str">
        <f t="shared" si="0"/>
        <v/>
      </c>
    </row>
    <row r="46" spans="2:9" x14ac:dyDescent="0.3">
      <c r="B46" s="27" t="str">
        <f>IFERROR(INDEX(Activos!$B$3:$C$16, MATCH(C46,Activos!$B$3:$B$16),2),"")</f>
        <v/>
      </c>
      <c r="C46" s="27"/>
      <c r="D46" s="27"/>
      <c r="E46" s="25"/>
      <c r="F46" s="26" t="str">
        <f>IF(E46='Tablas AR'!$B$4,1,IF('Análisis de Riesgos'!E46='Tablas AR'!$B$5,2,IF('Análisis de Riesgos'!E46='Tablas AR'!$B$6,3,"")))</f>
        <v/>
      </c>
      <c r="G46" s="25"/>
      <c r="H46" s="26" t="str">
        <f>IF(G46='Tablas AR'!$B$10,1,IF('Análisis de Riesgos'!G46='Tablas AR'!$B$11,2,IF('Análisis de Riesgos'!G46='Tablas AR'!$B$12,3,"")))</f>
        <v/>
      </c>
      <c r="I46" s="26" t="str">
        <f t="shared" si="0"/>
        <v/>
      </c>
    </row>
    <row r="47" spans="2:9" x14ac:dyDescent="0.3">
      <c r="B47" s="27" t="str">
        <f>IFERROR(INDEX(Activos!$B$3:$C$16, MATCH(C47,Activos!$B$3:$B$16),2),"")</f>
        <v/>
      </c>
      <c r="C47" s="27"/>
      <c r="D47" s="27"/>
      <c r="E47" s="25"/>
      <c r="F47" s="26" t="str">
        <f>IF(E47='Tablas AR'!$B$4,1,IF('Análisis de Riesgos'!E47='Tablas AR'!$B$5,2,IF('Análisis de Riesgos'!E47='Tablas AR'!$B$6,3,"")))</f>
        <v/>
      </c>
      <c r="G47" s="25"/>
      <c r="H47" s="26" t="str">
        <f>IF(G47='Tablas AR'!$B$10,1,IF('Análisis de Riesgos'!G47='Tablas AR'!$B$11,2,IF('Análisis de Riesgos'!G47='Tablas AR'!$B$12,3,"")))</f>
        <v/>
      </c>
      <c r="I47" s="26" t="str">
        <f t="shared" si="0"/>
        <v/>
      </c>
    </row>
    <row r="48" spans="2:9" x14ac:dyDescent="0.3">
      <c r="B48" s="27" t="str">
        <f>IFERROR(INDEX(Activos!$B$3:$C$16, MATCH(C48,Activos!$B$3:$B$16),2),"")</f>
        <v/>
      </c>
      <c r="C48" s="27"/>
      <c r="D48" s="27"/>
      <c r="E48" s="25"/>
      <c r="F48" s="26" t="str">
        <f>IF(E48='Tablas AR'!$B$4,1,IF('Análisis de Riesgos'!E48='Tablas AR'!$B$5,2,IF('Análisis de Riesgos'!E48='Tablas AR'!$B$6,3,"")))</f>
        <v/>
      </c>
      <c r="G48" s="25"/>
      <c r="H48" s="26" t="str">
        <f>IF(G48='Tablas AR'!$B$10,1,IF('Análisis de Riesgos'!G48='Tablas AR'!$B$11,2,IF('Análisis de Riesgos'!G48='Tablas AR'!$B$12,3,"")))</f>
        <v/>
      </c>
      <c r="I48" s="26" t="str">
        <f t="shared" si="0"/>
        <v/>
      </c>
    </row>
    <row r="49" spans="2:9" x14ac:dyDescent="0.3">
      <c r="B49" s="27" t="str">
        <f>IFERROR(INDEX(Activos!$B$3:$C$16, MATCH(C49,Activos!$B$3:$B$16),2),"")</f>
        <v/>
      </c>
      <c r="C49" s="27"/>
      <c r="D49" s="27"/>
      <c r="E49" s="25"/>
      <c r="F49" s="26" t="str">
        <f>IF(E49='Tablas AR'!$B$4,1,IF('Análisis de Riesgos'!E49='Tablas AR'!$B$5,2,IF('Análisis de Riesgos'!E49='Tablas AR'!$B$6,3,"")))</f>
        <v/>
      </c>
      <c r="G49" s="25"/>
      <c r="H49" s="26" t="str">
        <f>IF(G49='Tablas AR'!$B$10,1,IF('Análisis de Riesgos'!G49='Tablas AR'!$B$11,2,IF('Análisis de Riesgos'!G49='Tablas AR'!$B$12,3,"")))</f>
        <v/>
      </c>
      <c r="I49" s="26" t="str">
        <f t="shared" si="0"/>
        <v/>
      </c>
    </row>
    <row r="50" spans="2:9" x14ac:dyDescent="0.3">
      <c r="B50" s="27" t="str">
        <f>IFERROR(INDEX(Activos!$B$3:$C$16, MATCH(C50,Activos!$B$3:$B$16),2),"")</f>
        <v/>
      </c>
      <c r="C50" s="27"/>
      <c r="D50" s="27"/>
      <c r="E50" s="25"/>
      <c r="F50" s="26" t="str">
        <f>IF(E50='Tablas AR'!$B$4,1,IF('Análisis de Riesgos'!E50='Tablas AR'!$B$5,2,IF('Análisis de Riesgos'!E50='Tablas AR'!$B$6,3,"")))</f>
        <v/>
      </c>
      <c r="G50" s="25"/>
      <c r="H50" s="26" t="str">
        <f>IF(G50='Tablas AR'!$B$10,1,IF('Análisis de Riesgos'!G50='Tablas AR'!$B$11,2,IF('Análisis de Riesgos'!G50='Tablas AR'!$B$12,3,"")))</f>
        <v/>
      </c>
      <c r="I50" s="26" t="str">
        <f t="shared" si="0"/>
        <v/>
      </c>
    </row>
    <row r="51" spans="2:9" x14ac:dyDescent="0.3">
      <c r="B51" s="27" t="str">
        <f>IFERROR(INDEX(Activos!$B$3:$C$16, MATCH(C51,Activos!$B$3:$B$16),2),"")</f>
        <v/>
      </c>
      <c r="C51" s="27"/>
      <c r="D51" s="27"/>
      <c r="E51" s="25"/>
      <c r="F51" s="26" t="str">
        <f>IF(E51='Tablas AR'!$B$4,1,IF('Análisis de Riesgos'!E51='Tablas AR'!$B$5,2,IF('Análisis de Riesgos'!E51='Tablas AR'!$B$6,3,"")))</f>
        <v/>
      </c>
      <c r="G51" s="25"/>
      <c r="H51" s="26" t="str">
        <f>IF(G51='Tablas AR'!$B$10,1,IF('Análisis de Riesgos'!G51='Tablas AR'!$B$11,2,IF('Análisis de Riesgos'!G51='Tablas AR'!$B$12,3,"")))</f>
        <v/>
      </c>
      <c r="I51" s="26" t="str">
        <f t="shared" si="0"/>
        <v/>
      </c>
    </row>
    <row r="52" spans="2:9" x14ac:dyDescent="0.3">
      <c r="B52" s="27" t="str">
        <f>IFERROR(INDEX(Activos!$B$3:$C$16, MATCH(C52,Activos!$B$3:$B$16),2),"")</f>
        <v/>
      </c>
      <c r="C52" s="27"/>
      <c r="D52" s="27"/>
      <c r="E52" s="25"/>
      <c r="F52" s="26" t="str">
        <f>IF(E52='Tablas AR'!$B$4,1,IF('Análisis de Riesgos'!E52='Tablas AR'!$B$5,2,IF('Análisis de Riesgos'!E52='Tablas AR'!$B$6,3,"")))</f>
        <v/>
      </c>
      <c r="G52" s="25"/>
      <c r="H52" s="26" t="str">
        <f>IF(G52='Tablas AR'!$B$10,1,IF('Análisis de Riesgos'!G52='Tablas AR'!$B$11,2,IF('Análisis de Riesgos'!G52='Tablas AR'!$B$12,3,"")))</f>
        <v/>
      </c>
      <c r="I52" s="26" t="str">
        <f t="shared" si="0"/>
        <v/>
      </c>
    </row>
    <row r="53" spans="2:9" x14ac:dyDescent="0.3">
      <c r="B53" s="27" t="str">
        <f>IFERROR(INDEX(Activos!$B$3:$C$16, MATCH(C53,Activos!$B$3:$B$16),2),"")</f>
        <v/>
      </c>
      <c r="C53" s="27"/>
      <c r="D53" s="27"/>
      <c r="E53" s="25"/>
      <c r="F53" s="26" t="str">
        <f>IF(E53='Tablas AR'!$B$4,1,IF('Análisis de Riesgos'!E53='Tablas AR'!$B$5,2,IF('Análisis de Riesgos'!E53='Tablas AR'!$B$6,3,"")))</f>
        <v/>
      </c>
      <c r="G53" s="25"/>
      <c r="H53" s="26" t="str">
        <f>IF(G53='Tablas AR'!$B$10,1,IF('Análisis de Riesgos'!G53='Tablas AR'!$B$11,2,IF('Análisis de Riesgos'!G53='Tablas AR'!$B$12,3,"")))</f>
        <v/>
      </c>
      <c r="I53" s="26" t="str">
        <f t="shared" si="0"/>
        <v/>
      </c>
    </row>
    <row r="54" spans="2:9" x14ac:dyDescent="0.3">
      <c r="B54" s="27" t="str">
        <f>IFERROR(INDEX(Activos!$B$3:$C$16, MATCH(C54,Activos!$B$3:$B$16),2),"")</f>
        <v/>
      </c>
      <c r="C54" s="27"/>
      <c r="D54" s="27"/>
      <c r="E54" s="25"/>
      <c r="F54" s="26" t="str">
        <f>IF(E54='Tablas AR'!$B$4,1,IF('Análisis de Riesgos'!E54='Tablas AR'!$B$5,2,IF('Análisis de Riesgos'!E54='Tablas AR'!$B$6,3,"")))</f>
        <v/>
      </c>
      <c r="G54" s="25"/>
      <c r="H54" s="26" t="str">
        <f>IF(G54='Tablas AR'!$B$10,1,IF('Análisis de Riesgos'!G54='Tablas AR'!$B$11,2,IF('Análisis de Riesgos'!G54='Tablas AR'!$B$12,3,"")))</f>
        <v/>
      </c>
      <c r="I54" s="26" t="str">
        <f t="shared" si="0"/>
        <v/>
      </c>
    </row>
    <row r="55" spans="2:9" x14ac:dyDescent="0.3">
      <c r="B55" s="27" t="str">
        <f>IFERROR(INDEX(Activos!$B$3:$C$16, MATCH(C55,Activos!$B$3:$B$16),2),"")</f>
        <v/>
      </c>
      <c r="C55" s="27"/>
      <c r="D55" s="27"/>
      <c r="E55" s="25"/>
      <c r="F55" s="26" t="str">
        <f>IF(E55='Tablas AR'!$B$4,1,IF('Análisis de Riesgos'!E55='Tablas AR'!$B$5,2,IF('Análisis de Riesgos'!E55='Tablas AR'!$B$6,3,"")))</f>
        <v/>
      </c>
      <c r="G55" s="25"/>
      <c r="H55" s="26" t="str">
        <f>IF(G55='Tablas AR'!$B$10,1,IF('Análisis de Riesgos'!G55='Tablas AR'!$B$11,2,IF('Análisis de Riesgos'!G55='Tablas AR'!$B$12,3,"")))</f>
        <v/>
      </c>
      <c r="I55" s="26" t="str">
        <f t="shared" si="0"/>
        <v/>
      </c>
    </row>
    <row r="56" spans="2:9" x14ac:dyDescent="0.3">
      <c r="B56" s="27" t="str">
        <f>IFERROR(INDEX(Activos!$B$3:$C$16, MATCH(C56,Activos!$B$3:$B$16),2),"")</f>
        <v/>
      </c>
      <c r="C56" s="27"/>
      <c r="D56" s="27"/>
      <c r="E56" s="25"/>
      <c r="F56" s="26" t="str">
        <f>IF(E56='Tablas AR'!$B$4,1,IF('Análisis de Riesgos'!E56='Tablas AR'!$B$5,2,IF('Análisis de Riesgos'!E56='Tablas AR'!$B$6,3,"")))</f>
        <v/>
      </c>
      <c r="G56" s="25"/>
      <c r="H56" s="26" t="str">
        <f>IF(G56='Tablas AR'!$B$10,1,IF('Análisis de Riesgos'!G56='Tablas AR'!$B$11,2,IF('Análisis de Riesgos'!G56='Tablas AR'!$B$12,3,"")))</f>
        <v/>
      </c>
      <c r="I56" s="26" t="str">
        <f t="shared" si="0"/>
        <v/>
      </c>
    </row>
    <row r="57" spans="2:9" x14ac:dyDescent="0.3">
      <c r="B57" s="27" t="str">
        <f>IFERROR(INDEX(Activos!$B$3:$C$16, MATCH(C57,Activos!$B$3:$B$16),2),"")</f>
        <v/>
      </c>
      <c r="C57" s="27"/>
      <c r="D57" s="27"/>
      <c r="E57" s="25"/>
      <c r="F57" s="26" t="str">
        <f>IF(E57='Tablas AR'!$B$4,1,IF('Análisis de Riesgos'!E57='Tablas AR'!$B$5,2,IF('Análisis de Riesgos'!E57='Tablas AR'!$B$6,3,"")))</f>
        <v/>
      </c>
      <c r="G57" s="25"/>
      <c r="H57" s="26" t="str">
        <f>IF(G57='Tablas AR'!$B$10,1,IF('Análisis de Riesgos'!G57='Tablas AR'!$B$11,2,IF('Análisis de Riesgos'!G57='Tablas AR'!$B$12,3,"")))</f>
        <v/>
      </c>
      <c r="I57" s="26" t="str">
        <f t="shared" si="0"/>
        <v/>
      </c>
    </row>
    <row r="58" spans="2:9" x14ac:dyDescent="0.3">
      <c r="B58" s="27" t="str">
        <f>IFERROR(INDEX(Activos!$B$3:$C$16, MATCH(C58,Activos!$B$3:$B$16),2),"")</f>
        <v/>
      </c>
      <c r="C58" s="27"/>
      <c r="D58" s="27"/>
      <c r="E58" s="25"/>
      <c r="F58" s="26" t="str">
        <f>IF(E58='Tablas AR'!$B$4,1,IF('Análisis de Riesgos'!E58='Tablas AR'!$B$5,2,IF('Análisis de Riesgos'!E58='Tablas AR'!$B$6,3,"")))</f>
        <v/>
      </c>
      <c r="G58" s="25"/>
      <c r="H58" s="26" t="str">
        <f>IF(G58='Tablas AR'!$B$10,1,IF('Análisis de Riesgos'!G58='Tablas AR'!$B$11,2,IF('Análisis de Riesgos'!G58='Tablas AR'!$B$12,3,"")))</f>
        <v/>
      </c>
      <c r="I58" s="26" t="str">
        <f t="shared" si="0"/>
        <v/>
      </c>
    </row>
    <row r="59" spans="2:9" x14ac:dyDescent="0.3">
      <c r="B59" s="27" t="str">
        <f>IFERROR(INDEX(Activos!$B$3:$C$16, MATCH(C59,Activos!$B$3:$B$16),2),"")</f>
        <v/>
      </c>
      <c r="C59" s="27"/>
      <c r="D59" s="27"/>
      <c r="E59" s="25"/>
      <c r="F59" s="26" t="str">
        <f>IF(E59='Tablas AR'!$B$4,1,IF('Análisis de Riesgos'!E59='Tablas AR'!$B$5,2,IF('Análisis de Riesgos'!E59='Tablas AR'!$B$6,3,"")))</f>
        <v/>
      </c>
      <c r="G59" s="25"/>
      <c r="H59" s="26" t="str">
        <f>IF(G59='Tablas AR'!$B$10,1,IF('Análisis de Riesgos'!G59='Tablas AR'!$B$11,2,IF('Análisis de Riesgos'!G59='Tablas AR'!$B$12,3,"")))</f>
        <v/>
      </c>
      <c r="I59" s="26" t="str">
        <f t="shared" si="0"/>
        <v/>
      </c>
    </row>
    <row r="60" spans="2:9" x14ac:dyDescent="0.3">
      <c r="B60" s="27" t="str">
        <f>IFERROR(INDEX(Activos!$B$3:$C$16, MATCH(C60,Activos!$B$3:$B$16),2),"")</f>
        <v/>
      </c>
      <c r="C60" s="27"/>
      <c r="D60" s="27"/>
      <c r="E60" s="25"/>
      <c r="F60" s="26" t="str">
        <f>IF(E60='Tablas AR'!$B$4,1,IF('Análisis de Riesgos'!E60='Tablas AR'!$B$5,2,IF('Análisis de Riesgos'!E60='Tablas AR'!$B$6,3,"")))</f>
        <v/>
      </c>
      <c r="G60" s="25"/>
      <c r="H60" s="26" t="str">
        <f>IF(G60='Tablas AR'!$B$10,1,IF('Análisis de Riesgos'!G60='Tablas AR'!$B$11,2,IF('Análisis de Riesgos'!G60='Tablas AR'!$B$12,3,"")))</f>
        <v/>
      </c>
      <c r="I60" s="26" t="str">
        <f t="shared" si="0"/>
        <v/>
      </c>
    </row>
    <row r="61" spans="2:9" x14ac:dyDescent="0.3">
      <c r="B61" s="27" t="str">
        <f>IFERROR(INDEX(Activos!$B$3:$C$16, MATCH(C61,Activos!$B$3:$B$16),2),"")</f>
        <v/>
      </c>
      <c r="C61" s="27"/>
      <c r="D61" s="27"/>
      <c r="E61" s="25"/>
      <c r="F61" s="26" t="str">
        <f>IF(E61='Tablas AR'!$B$4,1,IF('Análisis de Riesgos'!E61='Tablas AR'!$B$5,2,IF('Análisis de Riesgos'!E61='Tablas AR'!$B$6,3,"")))</f>
        <v/>
      </c>
      <c r="G61" s="25"/>
      <c r="H61" s="26" t="str">
        <f>IF(G61='Tablas AR'!$B$10,1,IF('Análisis de Riesgos'!G61='Tablas AR'!$B$11,2,IF('Análisis de Riesgos'!G61='Tablas AR'!$B$12,3,"")))</f>
        <v/>
      </c>
      <c r="I61" s="26" t="str">
        <f t="shared" si="0"/>
        <v/>
      </c>
    </row>
    <row r="62" spans="2:9" x14ac:dyDescent="0.3">
      <c r="B62" s="27" t="str">
        <f>IFERROR(INDEX(Activos!$B$3:$C$16, MATCH(C62,Activos!$B$3:$B$16),2),"")</f>
        <v/>
      </c>
      <c r="C62" s="27"/>
      <c r="D62" s="27"/>
      <c r="E62" s="25"/>
      <c r="F62" s="26" t="str">
        <f>IF(E62='Tablas AR'!$B$4,1,IF('Análisis de Riesgos'!E62='Tablas AR'!$B$5,2,IF('Análisis de Riesgos'!E62='Tablas AR'!$B$6,3,"")))</f>
        <v/>
      </c>
      <c r="G62" s="25"/>
      <c r="H62" s="26" t="str">
        <f>IF(G62='Tablas AR'!$B$10,1,IF('Análisis de Riesgos'!G62='Tablas AR'!$B$11,2,IF('Análisis de Riesgos'!G62='Tablas AR'!$B$12,3,"")))</f>
        <v/>
      </c>
      <c r="I62" s="26" t="str">
        <f t="shared" si="0"/>
        <v/>
      </c>
    </row>
    <row r="63" spans="2:9" x14ac:dyDescent="0.3">
      <c r="B63" s="27" t="str">
        <f>IFERROR(INDEX(Activos!$B$3:$C$16, MATCH(C63,Activos!$B$3:$B$16),2),"")</f>
        <v/>
      </c>
      <c r="C63" s="27"/>
      <c r="D63" s="27"/>
      <c r="E63" s="25"/>
      <c r="F63" s="26" t="str">
        <f>IF(E63='Tablas AR'!$B$4,1,IF('Análisis de Riesgos'!E63='Tablas AR'!$B$5,2,IF('Análisis de Riesgos'!E63='Tablas AR'!$B$6,3,"")))</f>
        <v/>
      </c>
      <c r="G63" s="25"/>
      <c r="H63" s="26" t="str">
        <f>IF(G63='Tablas AR'!$B$10,1,IF('Análisis de Riesgos'!G63='Tablas AR'!$B$11,2,IF('Análisis de Riesgos'!G63='Tablas AR'!$B$12,3,"")))</f>
        <v/>
      </c>
      <c r="I63" s="26" t="str">
        <f t="shared" si="0"/>
        <v/>
      </c>
    </row>
    <row r="64" spans="2:9" x14ac:dyDescent="0.3">
      <c r="B64" s="27" t="str">
        <f>IFERROR(INDEX(Activos!$B$3:$C$16, MATCH(C64,Activos!$B$3:$B$16),2),"")</f>
        <v/>
      </c>
      <c r="C64" s="27"/>
      <c r="D64" s="27"/>
      <c r="E64" s="25"/>
      <c r="F64" s="26" t="str">
        <f>IF(E64='Tablas AR'!$B$4,1,IF('Análisis de Riesgos'!E64='Tablas AR'!$B$5,2,IF('Análisis de Riesgos'!E64='Tablas AR'!$B$6,3,"")))</f>
        <v/>
      </c>
      <c r="G64" s="25"/>
      <c r="H64" s="26" t="str">
        <f>IF(G64='Tablas AR'!$B$10,1,IF('Análisis de Riesgos'!G64='Tablas AR'!$B$11,2,IF('Análisis de Riesgos'!G64='Tablas AR'!$B$12,3,"")))</f>
        <v/>
      </c>
      <c r="I64" s="26" t="str">
        <f t="shared" si="0"/>
        <v/>
      </c>
    </row>
    <row r="65" spans="2:9" x14ac:dyDescent="0.3">
      <c r="B65" s="27" t="str">
        <f>IFERROR(INDEX(Activos!$B$3:$C$16, MATCH(C65,Activos!$B$3:$B$16),2),"")</f>
        <v/>
      </c>
      <c r="C65" s="27"/>
      <c r="D65" s="27"/>
      <c r="E65" s="25"/>
      <c r="F65" s="26" t="str">
        <f>IF(E65='Tablas AR'!$B$4,1,IF('Análisis de Riesgos'!E65='Tablas AR'!$B$5,2,IF('Análisis de Riesgos'!E65='Tablas AR'!$B$6,3,"")))</f>
        <v/>
      </c>
      <c r="G65" s="25"/>
      <c r="H65" s="26" t="str">
        <f>IF(G65='Tablas AR'!$B$10,1,IF('Análisis de Riesgos'!G65='Tablas AR'!$B$11,2,IF('Análisis de Riesgos'!G65='Tablas AR'!$B$12,3,"")))</f>
        <v/>
      </c>
      <c r="I65" s="26" t="str">
        <f t="shared" si="0"/>
        <v/>
      </c>
    </row>
    <row r="66" spans="2:9" x14ac:dyDescent="0.3">
      <c r="B66" s="27" t="str">
        <f>IFERROR(INDEX(Activos!$B$3:$C$16, MATCH(C66,Activos!$B$3:$B$16),2),"")</f>
        <v/>
      </c>
      <c r="C66" s="27"/>
      <c r="D66" s="27"/>
      <c r="E66" s="25"/>
      <c r="F66" s="26" t="str">
        <f>IF(E66='Tablas AR'!$B$4,1,IF('Análisis de Riesgos'!E66='Tablas AR'!$B$5,2,IF('Análisis de Riesgos'!E66='Tablas AR'!$B$6,3,"")))</f>
        <v/>
      </c>
      <c r="G66" s="25"/>
      <c r="H66" s="26" t="str">
        <f>IF(G66='Tablas AR'!$B$10,1,IF('Análisis de Riesgos'!G66='Tablas AR'!$B$11,2,IF('Análisis de Riesgos'!G66='Tablas AR'!$B$12,3,"")))</f>
        <v/>
      </c>
      <c r="I66" s="26" t="str">
        <f t="shared" si="0"/>
        <v/>
      </c>
    </row>
    <row r="67" spans="2:9" x14ac:dyDescent="0.3">
      <c r="B67" s="27" t="str">
        <f>IFERROR(INDEX(Activos!$B$3:$C$16, MATCH(C67,Activos!$B$3:$B$16),2),"")</f>
        <v/>
      </c>
      <c r="C67" s="27"/>
      <c r="D67" s="27"/>
      <c r="E67" s="25"/>
      <c r="F67" s="26" t="str">
        <f>IF(E67='Tablas AR'!$B$4,1,IF('Análisis de Riesgos'!E67='Tablas AR'!$B$5,2,IF('Análisis de Riesgos'!E67='Tablas AR'!$B$6,3,"")))</f>
        <v/>
      </c>
      <c r="G67" s="25"/>
      <c r="H67" s="26" t="str">
        <f>IF(G67='Tablas AR'!$B$10,1,IF('Análisis de Riesgos'!G67='Tablas AR'!$B$11,2,IF('Análisis de Riesgos'!G67='Tablas AR'!$B$12,3,"")))</f>
        <v/>
      </c>
      <c r="I67" s="26" t="str">
        <f t="shared" si="0"/>
        <v/>
      </c>
    </row>
    <row r="68" spans="2:9" x14ac:dyDescent="0.3">
      <c r="B68" s="27" t="str">
        <f>IFERROR(INDEX(Activos!$B$3:$C$16, MATCH(C68,Activos!$B$3:$B$16),2),"")</f>
        <v/>
      </c>
      <c r="C68" s="27"/>
      <c r="D68" s="27"/>
      <c r="E68" s="25"/>
      <c r="F68" s="26" t="str">
        <f>IF(E68='Tablas AR'!$B$4,1,IF('Análisis de Riesgos'!E68='Tablas AR'!$B$5,2,IF('Análisis de Riesgos'!E68='Tablas AR'!$B$6,3,"")))</f>
        <v/>
      </c>
      <c r="G68" s="25"/>
      <c r="H68" s="26" t="str">
        <f>IF(G68='Tablas AR'!$B$10,1,IF('Análisis de Riesgos'!G68='Tablas AR'!$B$11,2,IF('Análisis de Riesgos'!G68='Tablas AR'!$B$12,3,"")))</f>
        <v/>
      </c>
      <c r="I68" s="26" t="str">
        <f t="shared" ref="I68:I131" si="1" xml:space="preserve"> IFERROR(F68*H68,"")</f>
        <v/>
      </c>
    </row>
    <row r="69" spans="2:9" x14ac:dyDescent="0.3">
      <c r="B69" s="27" t="str">
        <f>IFERROR(INDEX(Activos!$B$3:$C$16, MATCH(C69,Activos!$B$3:$B$16),2),"")</f>
        <v/>
      </c>
      <c r="C69" s="27"/>
      <c r="D69" s="27"/>
      <c r="E69" s="25"/>
      <c r="F69" s="26" t="str">
        <f>IF(E69='Tablas AR'!$B$4,1,IF('Análisis de Riesgos'!E69='Tablas AR'!$B$5,2,IF('Análisis de Riesgos'!E69='Tablas AR'!$B$6,3,"")))</f>
        <v/>
      </c>
      <c r="G69" s="25"/>
      <c r="H69" s="26" t="str">
        <f>IF(G69='Tablas AR'!$B$10,1,IF('Análisis de Riesgos'!G69='Tablas AR'!$B$11,2,IF('Análisis de Riesgos'!G69='Tablas AR'!$B$12,3,"")))</f>
        <v/>
      </c>
      <c r="I69" s="26" t="str">
        <f t="shared" si="1"/>
        <v/>
      </c>
    </row>
    <row r="70" spans="2:9" x14ac:dyDescent="0.3">
      <c r="B70" s="27" t="str">
        <f>IFERROR(INDEX(Activos!$B$3:$C$16, MATCH(C70,Activos!$B$3:$B$16),2),"")</f>
        <v/>
      </c>
      <c r="C70" s="27"/>
      <c r="D70" s="27"/>
      <c r="E70" s="25"/>
      <c r="F70" s="26" t="str">
        <f>IF(E70='Tablas AR'!$B$4,1,IF('Análisis de Riesgos'!E70='Tablas AR'!$B$5,2,IF('Análisis de Riesgos'!E70='Tablas AR'!$B$6,3,"")))</f>
        <v/>
      </c>
      <c r="G70" s="25"/>
      <c r="H70" s="26" t="str">
        <f>IF(G70='Tablas AR'!$B$10,1,IF('Análisis de Riesgos'!G70='Tablas AR'!$B$11,2,IF('Análisis de Riesgos'!G70='Tablas AR'!$B$12,3,"")))</f>
        <v/>
      </c>
      <c r="I70" s="26" t="str">
        <f t="shared" si="1"/>
        <v/>
      </c>
    </row>
    <row r="71" spans="2:9" x14ac:dyDescent="0.3">
      <c r="B71" s="27" t="str">
        <f>IFERROR(INDEX(Activos!$B$3:$C$16, MATCH(C71,Activos!$B$3:$B$16),2),"")</f>
        <v/>
      </c>
      <c r="C71" s="27"/>
      <c r="D71" s="27"/>
      <c r="E71" s="25"/>
      <c r="F71" s="26" t="str">
        <f>IF(E71='Tablas AR'!$B$4,1,IF('Análisis de Riesgos'!E71='Tablas AR'!$B$5,2,IF('Análisis de Riesgos'!E71='Tablas AR'!$B$6,3,"")))</f>
        <v/>
      </c>
      <c r="G71" s="25"/>
      <c r="H71" s="26" t="str">
        <f>IF(G71='Tablas AR'!$B$10,1,IF('Análisis de Riesgos'!G71='Tablas AR'!$B$11,2,IF('Análisis de Riesgos'!G71='Tablas AR'!$B$12,3,"")))</f>
        <v/>
      </c>
      <c r="I71" s="26" t="str">
        <f t="shared" si="1"/>
        <v/>
      </c>
    </row>
    <row r="72" spans="2:9" x14ac:dyDescent="0.3">
      <c r="B72" s="27" t="str">
        <f>IFERROR(INDEX(Activos!$B$3:$C$16, MATCH(C72,Activos!$B$3:$B$16),2),"")</f>
        <v/>
      </c>
      <c r="C72" s="27"/>
      <c r="D72" s="27"/>
      <c r="E72" s="25"/>
      <c r="F72" s="26" t="str">
        <f>IF(E72='Tablas AR'!$B$4,1,IF('Análisis de Riesgos'!E72='Tablas AR'!$B$5,2,IF('Análisis de Riesgos'!E72='Tablas AR'!$B$6,3,"")))</f>
        <v/>
      </c>
      <c r="G72" s="25"/>
      <c r="H72" s="26" t="str">
        <f>IF(G72='Tablas AR'!$B$10,1,IF('Análisis de Riesgos'!G72='Tablas AR'!$B$11,2,IF('Análisis de Riesgos'!G72='Tablas AR'!$B$12,3,"")))</f>
        <v/>
      </c>
      <c r="I72" s="26" t="str">
        <f t="shared" si="1"/>
        <v/>
      </c>
    </row>
    <row r="73" spans="2:9" x14ac:dyDescent="0.3">
      <c r="B73" s="27" t="str">
        <f>IFERROR(INDEX(Activos!$B$3:$C$16, MATCH(C73,Activos!$B$3:$B$16),2),"")</f>
        <v/>
      </c>
      <c r="C73" s="27"/>
      <c r="D73" s="27"/>
      <c r="E73" s="25"/>
      <c r="F73" s="26" t="str">
        <f>IF(E73='Tablas AR'!$B$4,1,IF('Análisis de Riesgos'!E73='Tablas AR'!$B$5,2,IF('Análisis de Riesgos'!E73='Tablas AR'!$B$6,3,"")))</f>
        <v/>
      </c>
      <c r="G73" s="25"/>
      <c r="H73" s="26" t="str">
        <f>IF(G73='Tablas AR'!$B$10,1,IF('Análisis de Riesgos'!G73='Tablas AR'!$B$11,2,IF('Análisis de Riesgos'!G73='Tablas AR'!$B$12,3,"")))</f>
        <v/>
      </c>
      <c r="I73" s="26" t="str">
        <f t="shared" si="1"/>
        <v/>
      </c>
    </row>
    <row r="74" spans="2:9" x14ac:dyDescent="0.3">
      <c r="B74" s="27" t="str">
        <f>IFERROR(INDEX(Activos!$B$3:$C$16, MATCH(C74,Activos!$B$3:$B$16),2),"")</f>
        <v/>
      </c>
      <c r="C74" s="27"/>
      <c r="D74" s="27"/>
      <c r="E74" s="25"/>
      <c r="F74" s="26" t="str">
        <f>IF(E74='Tablas AR'!$B$4,1,IF('Análisis de Riesgos'!E74='Tablas AR'!$B$5,2,IF('Análisis de Riesgos'!E74='Tablas AR'!$B$6,3,"")))</f>
        <v/>
      </c>
      <c r="G74" s="25"/>
      <c r="H74" s="26" t="str">
        <f>IF(G74='Tablas AR'!$B$10,1,IF('Análisis de Riesgos'!G74='Tablas AR'!$B$11,2,IF('Análisis de Riesgos'!G74='Tablas AR'!$B$12,3,"")))</f>
        <v/>
      </c>
      <c r="I74" s="26" t="str">
        <f t="shared" si="1"/>
        <v/>
      </c>
    </row>
    <row r="75" spans="2:9" x14ac:dyDescent="0.3">
      <c r="B75" s="27" t="str">
        <f>IFERROR(INDEX(Activos!$B$3:$C$16, MATCH(C75,Activos!$B$3:$B$16),2),"")</f>
        <v/>
      </c>
      <c r="C75" s="27"/>
      <c r="D75" s="27"/>
      <c r="E75" s="25"/>
      <c r="F75" s="26" t="str">
        <f>IF(E75='Tablas AR'!$B$4,1,IF('Análisis de Riesgos'!E75='Tablas AR'!$B$5,2,IF('Análisis de Riesgos'!E75='Tablas AR'!$B$6,3,"")))</f>
        <v/>
      </c>
      <c r="G75" s="25"/>
      <c r="H75" s="26" t="str">
        <f>IF(G75='Tablas AR'!$B$10,1,IF('Análisis de Riesgos'!G75='Tablas AR'!$B$11,2,IF('Análisis de Riesgos'!G75='Tablas AR'!$B$12,3,"")))</f>
        <v/>
      </c>
      <c r="I75" s="26" t="str">
        <f t="shared" si="1"/>
        <v/>
      </c>
    </row>
    <row r="76" spans="2:9" x14ac:dyDescent="0.3">
      <c r="B76" s="27" t="str">
        <f>IFERROR(INDEX(Activos!$B$3:$C$16, MATCH(C76,Activos!$B$3:$B$16),2),"")</f>
        <v/>
      </c>
      <c r="C76" s="27"/>
      <c r="D76" s="27"/>
      <c r="E76" s="25"/>
      <c r="F76" s="26" t="str">
        <f>IF(E76='Tablas AR'!$B$4,1,IF('Análisis de Riesgos'!E76='Tablas AR'!$B$5,2,IF('Análisis de Riesgos'!E76='Tablas AR'!$B$6,3,"")))</f>
        <v/>
      </c>
      <c r="G76" s="25"/>
      <c r="H76" s="26" t="str">
        <f>IF(G76='Tablas AR'!$B$10,1,IF('Análisis de Riesgos'!G76='Tablas AR'!$B$11,2,IF('Análisis de Riesgos'!G76='Tablas AR'!$B$12,3,"")))</f>
        <v/>
      </c>
      <c r="I76" s="26" t="str">
        <f t="shared" si="1"/>
        <v/>
      </c>
    </row>
    <row r="77" spans="2:9" x14ac:dyDescent="0.3">
      <c r="B77" s="27" t="str">
        <f>IFERROR(INDEX(Activos!$B$3:$C$16, MATCH(C77,Activos!$B$3:$B$16),2),"")</f>
        <v/>
      </c>
      <c r="C77" s="27"/>
      <c r="D77" s="27"/>
      <c r="E77" s="25"/>
      <c r="F77" s="26" t="str">
        <f>IF(E77='Tablas AR'!$B$4,1,IF('Análisis de Riesgos'!E77='Tablas AR'!$B$5,2,IF('Análisis de Riesgos'!E77='Tablas AR'!$B$6,3,"")))</f>
        <v/>
      </c>
      <c r="G77" s="25"/>
      <c r="H77" s="26" t="str">
        <f>IF(G77='Tablas AR'!$B$10,1,IF('Análisis de Riesgos'!G77='Tablas AR'!$B$11,2,IF('Análisis de Riesgos'!G77='Tablas AR'!$B$12,3,"")))</f>
        <v/>
      </c>
      <c r="I77" s="26" t="str">
        <f t="shared" si="1"/>
        <v/>
      </c>
    </row>
    <row r="78" spans="2:9" x14ac:dyDescent="0.3">
      <c r="B78" s="27" t="str">
        <f>IFERROR(INDEX(Activos!$B$3:$C$16, MATCH(C78,Activos!$B$3:$B$16),2),"")</f>
        <v/>
      </c>
      <c r="C78" s="27"/>
      <c r="D78" s="27"/>
      <c r="E78" s="25"/>
      <c r="F78" s="26" t="str">
        <f>IF(E78='Tablas AR'!$B$4,1,IF('Análisis de Riesgos'!E78='Tablas AR'!$B$5,2,IF('Análisis de Riesgos'!E78='Tablas AR'!$B$6,3,"")))</f>
        <v/>
      </c>
      <c r="G78" s="25"/>
      <c r="H78" s="26" t="str">
        <f>IF(G78='Tablas AR'!$B$10,1,IF('Análisis de Riesgos'!G78='Tablas AR'!$B$11,2,IF('Análisis de Riesgos'!G78='Tablas AR'!$B$12,3,"")))</f>
        <v/>
      </c>
      <c r="I78" s="26" t="str">
        <f t="shared" si="1"/>
        <v/>
      </c>
    </row>
    <row r="79" spans="2:9" x14ac:dyDescent="0.3">
      <c r="B79" s="27" t="str">
        <f>IFERROR(INDEX(Activos!$B$3:$C$16, MATCH(C79,Activos!$B$3:$B$16),2),"")</f>
        <v/>
      </c>
      <c r="C79" s="27"/>
      <c r="D79" s="27"/>
      <c r="E79" s="25"/>
      <c r="F79" s="26" t="str">
        <f>IF(E79='Tablas AR'!$B$4,1,IF('Análisis de Riesgos'!E79='Tablas AR'!$B$5,2,IF('Análisis de Riesgos'!E79='Tablas AR'!$B$6,3,"")))</f>
        <v/>
      </c>
      <c r="G79" s="25"/>
      <c r="H79" s="26" t="str">
        <f>IF(G79='Tablas AR'!$B$10,1,IF('Análisis de Riesgos'!G79='Tablas AR'!$B$11,2,IF('Análisis de Riesgos'!G79='Tablas AR'!$B$12,3,"")))</f>
        <v/>
      </c>
      <c r="I79" s="26" t="str">
        <f t="shared" si="1"/>
        <v/>
      </c>
    </row>
    <row r="80" spans="2:9" x14ac:dyDescent="0.3">
      <c r="B80" s="27" t="str">
        <f>IFERROR(INDEX(Activos!$B$3:$C$16, MATCH(C80,Activos!$B$3:$B$16),2),"")</f>
        <v/>
      </c>
      <c r="C80" s="27"/>
      <c r="D80" s="27"/>
      <c r="E80" s="25"/>
      <c r="F80" s="26" t="str">
        <f>IF(E80='Tablas AR'!$B$4,1,IF('Análisis de Riesgos'!E80='Tablas AR'!$B$5,2,IF('Análisis de Riesgos'!E80='Tablas AR'!$B$6,3,"")))</f>
        <v/>
      </c>
      <c r="G80" s="25"/>
      <c r="H80" s="26" t="str">
        <f>IF(G80='Tablas AR'!$B$10,1,IF('Análisis de Riesgos'!G80='Tablas AR'!$B$11,2,IF('Análisis de Riesgos'!G80='Tablas AR'!$B$12,3,"")))</f>
        <v/>
      </c>
      <c r="I80" s="26" t="str">
        <f t="shared" si="1"/>
        <v/>
      </c>
    </row>
    <row r="81" spans="2:9" x14ac:dyDescent="0.3">
      <c r="B81" s="27" t="str">
        <f>IFERROR(INDEX(Activos!$B$3:$C$16, MATCH(C81,Activos!$B$3:$B$16),2),"")</f>
        <v/>
      </c>
      <c r="C81" s="27"/>
      <c r="D81" s="27"/>
      <c r="E81" s="25"/>
      <c r="F81" s="26" t="str">
        <f>IF(E81='Tablas AR'!$B$4,1,IF('Análisis de Riesgos'!E81='Tablas AR'!$B$5,2,IF('Análisis de Riesgos'!E81='Tablas AR'!$B$6,3,"")))</f>
        <v/>
      </c>
      <c r="G81" s="25"/>
      <c r="H81" s="26" t="str">
        <f>IF(G81='Tablas AR'!$B$10,1,IF('Análisis de Riesgos'!G81='Tablas AR'!$B$11,2,IF('Análisis de Riesgos'!G81='Tablas AR'!$B$12,3,"")))</f>
        <v/>
      </c>
      <c r="I81" s="26" t="str">
        <f t="shared" si="1"/>
        <v/>
      </c>
    </row>
    <row r="82" spans="2:9" x14ac:dyDescent="0.3">
      <c r="B82" s="27" t="str">
        <f>IFERROR(INDEX(Activos!$B$3:$C$16, MATCH(C82,Activos!$B$3:$B$16),2),"")</f>
        <v/>
      </c>
      <c r="C82" s="27"/>
      <c r="D82" s="27"/>
      <c r="E82" s="25"/>
      <c r="F82" s="26" t="str">
        <f>IF(E82='Tablas AR'!$B$4,1,IF('Análisis de Riesgos'!E82='Tablas AR'!$B$5,2,IF('Análisis de Riesgos'!E82='Tablas AR'!$B$6,3,"")))</f>
        <v/>
      </c>
      <c r="G82" s="25"/>
      <c r="H82" s="26" t="str">
        <f>IF(G82='Tablas AR'!$B$10,1,IF('Análisis de Riesgos'!G82='Tablas AR'!$B$11,2,IF('Análisis de Riesgos'!G82='Tablas AR'!$B$12,3,"")))</f>
        <v/>
      </c>
      <c r="I82" s="26" t="str">
        <f t="shared" si="1"/>
        <v/>
      </c>
    </row>
    <row r="83" spans="2:9" x14ac:dyDescent="0.3">
      <c r="B83" s="27" t="str">
        <f>IFERROR(INDEX(Activos!$B$3:$C$16, MATCH(C83,Activos!$B$3:$B$16),2),"")</f>
        <v/>
      </c>
      <c r="C83" s="27"/>
      <c r="D83" s="27"/>
      <c r="E83" s="25"/>
      <c r="F83" s="26" t="str">
        <f>IF(E83='Tablas AR'!$B$4,1,IF('Análisis de Riesgos'!E83='Tablas AR'!$B$5,2,IF('Análisis de Riesgos'!E83='Tablas AR'!$B$6,3,"")))</f>
        <v/>
      </c>
      <c r="G83" s="25"/>
      <c r="H83" s="26" t="str">
        <f>IF(G83='Tablas AR'!$B$10,1,IF('Análisis de Riesgos'!G83='Tablas AR'!$B$11,2,IF('Análisis de Riesgos'!G83='Tablas AR'!$B$12,3,"")))</f>
        <v/>
      </c>
      <c r="I83" s="26" t="str">
        <f t="shared" si="1"/>
        <v/>
      </c>
    </row>
    <row r="84" spans="2:9" x14ac:dyDescent="0.3">
      <c r="B84" s="27" t="str">
        <f>IFERROR(INDEX(Activos!$B$3:$C$16, MATCH(C84,Activos!$B$3:$B$16),2),"")</f>
        <v/>
      </c>
      <c r="C84" s="27"/>
      <c r="D84" s="27"/>
      <c r="E84" s="25"/>
      <c r="F84" s="26" t="str">
        <f>IF(E84='Tablas AR'!$B$4,1,IF('Análisis de Riesgos'!E84='Tablas AR'!$B$5,2,IF('Análisis de Riesgos'!E84='Tablas AR'!$B$6,3,"")))</f>
        <v/>
      </c>
      <c r="G84" s="25"/>
      <c r="H84" s="26" t="str">
        <f>IF(G84='Tablas AR'!$B$10,1,IF('Análisis de Riesgos'!G84='Tablas AR'!$B$11,2,IF('Análisis de Riesgos'!G84='Tablas AR'!$B$12,3,"")))</f>
        <v/>
      </c>
      <c r="I84" s="26" t="str">
        <f t="shared" si="1"/>
        <v/>
      </c>
    </row>
    <row r="85" spans="2:9" x14ac:dyDescent="0.3">
      <c r="B85" s="27" t="str">
        <f>IFERROR(INDEX(Activos!$B$3:$C$16, MATCH(C85,Activos!$B$3:$B$16),2),"")</f>
        <v/>
      </c>
      <c r="C85" s="27"/>
      <c r="D85" s="27"/>
      <c r="E85" s="25"/>
      <c r="F85" s="26" t="str">
        <f>IF(E85='Tablas AR'!$B$4,1,IF('Análisis de Riesgos'!E85='Tablas AR'!$B$5,2,IF('Análisis de Riesgos'!E85='Tablas AR'!$B$6,3,"")))</f>
        <v/>
      </c>
      <c r="G85" s="25"/>
      <c r="H85" s="26" t="str">
        <f>IF(G85='Tablas AR'!$B$10,1,IF('Análisis de Riesgos'!G85='Tablas AR'!$B$11,2,IF('Análisis de Riesgos'!G85='Tablas AR'!$B$12,3,"")))</f>
        <v/>
      </c>
      <c r="I85" s="26" t="str">
        <f t="shared" si="1"/>
        <v/>
      </c>
    </row>
    <row r="86" spans="2:9" x14ac:dyDescent="0.3">
      <c r="B86" s="27" t="str">
        <f>IFERROR(INDEX(Activos!$B$3:$C$16, MATCH(C86,Activos!$B$3:$B$16),2),"")</f>
        <v/>
      </c>
      <c r="C86" s="27"/>
      <c r="D86" s="27"/>
      <c r="E86" s="25"/>
      <c r="F86" s="26" t="str">
        <f>IF(E86='Tablas AR'!$B$4,1,IF('Análisis de Riesgos'!E86='Tablas AR'!$B$5,2,IF('Análisis de Riesgos'!E86='Tablas AR'!$B$6,3,"")))</f>
        <v/>
      </c>
      <c r="G86" s="25"/>
      <c r="H86" s="26" t="str">
        <f>IF(G86='Tablas AR'!$B$10,1,IF('Análisis de Riesgos'!G86='Tablas AR'!$B$11,2,IF('Análisis de Riesgos'!G86='Tablas AR'!$B$12,3,"")))</f>
        <v/>
      </c>
      <c r="I86" s="26" t="str">
        <f t="shared" si="1"/>
        <v/>
      </c>
    </row>
    <row r="87" spans="2:9" x14ac:dyDescent="0.3">
      <c r="B87" s="27" t="str">
        <f>IFERROR(INDEX(Activos!$B$3:$C$16, MATCH(C87,Activos!$B$3:$B$16),2),"")</f>
        <v/>
      </c>
      <c r="C87" s="27"/>
      <c r="D87" s="27"/>
      <c r="E87" s="25"/>
      <c r="F87" s="26" t="str">
        <f>IF(E87='Tablas AR'!$B$4,1,IF('Análisis de Riesgos'!E87='Tablas AR'!$B$5,2,IF('Análisis de Riesgos'!E87='Tablas AR'!$B$6,3,"")))</f>
        <v/>
      </c>
      <c r="G87" s="25"/>
      <c r="H87" s="26" t="str">
        <f>IF(G87='Tablas AR'!$B$10,1,IF('Análisis de Riesgos'!G87='Tablas AR'!$B$11,2,IF('Análisis de Riesgos'!G87='Tablas AR'!$B$12,3,"")))</f>
        <v/>
      </c>
      <c r="I87" s="26" t="str">
        <f t="shared" si="1"/>
        <v/>
      </c>
    </row>
    <row r="88" spans="2:9" x14ac:dyDescent="0.3">
      <c r="B88" s="27" t="str">
        <f>IFERROR(INDEX(Activos!$B$3:$C$16, MATCH(C88,Activos!$B$3:$B$16),2),"")</f>
        <v/>
      </c>
      <c r="C88" s="27"/>
      <c r="D88" s="27"/>
      <c r="E88" s="25"/>
      <c r="F88" s="26" t="str">
        <f>IF(E88='Tablas AR'!$B$4,1,IF('Análisis de Riesgos'!E88='Tablas AR'!$B$5,2,IF('Análisis de Riesgos'!E88='Tablas AR'!$B$6,3,"")))</f>
        <v/>
      </c>
      <c r="G88" s="25"/>
      <c r="H88" s="26" t="str">
        <f>IF(G88='Tablas AR'!$B$10,1,IF('Análisis de Riesgos'!G88='Tablas AR'!$B$11,2,IF('Análisis de Riesgos'!G88='Tablas AR'!$B$12,3,"")))</f>
        <v/>
      </c>
      <c r="I88" s="26" t="str">
        <f t="shared" si="1"/>
        <v/>
      </c>
    </row>
    <row r="89" spans="2:9" x14ac:dyDescent="0.3">
      <c r="B89" s="27" t="str">
        <f>IFERROR(INDEX(Activos!$B$3:$C$16, MATCH(C89,Activos!$B$3:$B$16),2),"")</f>
        <v/>
      </c>
      <c r="C89" s="27"/>
      <c r="D89" s="27"/>
      <c r="E89" s="25"/>
      <c r="F89" s="26" t="str">
        <f>IF(E89='Tablas AR'!$B$4,1,IF('Análisis de Riesgos'!E89='Tablas AR'!$B$5,2,IF('Análisis de Riesgos'!E89='Tablas AR'!$B$6,3,"")))</f>
        <v/>
      </c>
      <c r="G89" s="25"/>
      <c r="H89" s="26" t="str">
        <f>IF(G89='Tablas AR'!$B$10,1,IF('Análisis de Riesgos'!G89='Tablas AR'!$B$11,2,IF('Análisis de Riesgos'!G89='Tablas AR'!$B$12,3,"")))</f>
        <v/>
      </c>
      <c r="I89" s="26" t="str">
        <f t="shared" si="1"/>
        <v/>
      </c>
    </row>
    <row r="90" spans="2:9" x14ac:dyDescent="0.3">
      <c r="B90" s="27" t="str">
        <f>IFERROR(INDEX(Activos!$B$3:$C$16, MATCH(C90,Activos!$B$3:$B$16),2),"")</f>
        <v/>
      </c>
      <c r="C90" s="27"/>
      <c r="D90" s="27"/>
      <c r="E90" s="25"/>
      <c r="F90" s="26" t="str">
        <f>IF(E90='Tablas AR'!$B$4,1,IF('Análisis de Riesgos'!E90='Tablas AR'!$B$5,2,IF('Análisis de Riesgos'!E90='Tablas AR'!$B$6,3,"")))</f>
        <v/>
      </c>
      <c r="G90" s="25"/>
      <c r="H90" s="26" t="str">
        <f>IF(G90='Tablas AR'!$B$10,1,IF('Análisis de Riesgos'!G90='Tablas AR'!$B$11,2,IF('Análisis de Riesgos'!G90='Tablas AR'!$B$12,3,"")))</f>
        <v/>
      </c>
      <c r="I90" s="26" t="str">
        <f t="shared" si="1"/>
        <v/>
      </c>
    </row>
    <row r="91" spans="2:9" x14ac:dyDescent="0.3">
      <c r="B91" s="27" t="str">
        <f>IFERROR(INDEX(Activos!$B$3:$C$16, MATCH(C91,Activos!$B$3:$B$16),2),"")</f>
        <v/>
      </c>
      <c r="C91" s="27"/>
      <c r="D91" s="27"/>
      <c r="E91" s="25"/>
      <c r="F91" s="26" t="str">
        <f>IF(E91='Tablas AR'!$B$4,1,IF('Análisis de Riesgos'!E91='Tablas AR'!$B$5,2,IF('Análisis de Riesgos'!E91='Tablas AR'!$B$6,3,"")))</f>
        <v/>
      </c>
      <c r="G91" s="25"/>
      <c r="H91" s="26" t="str">
        <f>IF(G91='Tablas AR'!$B$10,1,IF('Análisis de Riesgos'!G91='Tablas AR'!$B$11,2,IF('Análisis de Riesgos'!G91='Tablas AR'!$B$12,3,"")))</f>
        <v/>
      </c>
      <c r="I91" s="26" t="str">
        <f t="shared" si="1"/>
        <v/>
      </c>
    </row>
    <row r="92" spans="2:9" x14ac:dyDescent="0.3">
      <c r="B92" s="27" t="str">
        <f>IFERROR(INDEX(Activos!$B$3:$C$16, MATCH(C92,Activos!$B$3:$B$16),2),"")</f>
        <v/>
      </c>
      <c r="C92" s="27"/>
      <c r="D92" s="27"/>
      <c r="E92" s="25"/>
      <c r="F92" s="26" t="str">
        <f>IF(E92='Tablas AR'!$B$4,1,IF('Análisis de Riesgos'!E92='Tablas AR'!$B$5,2,IF('Análisis de Riesgos'!E92='Tablas AR'!$B$6,3,"")))</f>
        <v/>
      </c>
      <c r="G92" s="25"/>
      <c r="H92" s="26" t="str">
        <f>IF(G92='Tablas AR'!$B$10,1,IF('Análisis de Riesgos'!G92='Tablas AR'!$B$11,2,IF('Análisis de Riesgos'!G92='Tablas AR'!$B$12,3,"")))</f>
        <v/>
      </c>
      <c r="I92" s="26" t="str">
        <f t="shared" si="1"/>
        <v/>
      </c>
    </row>
    <row r="93" spans="2:9" x14ac:dyDescent="0.3">
      <c r="B93" s="27" t="str">
        <f>IFERROR(INDEX(Activos!$B$3:$C$16, MATCH(C93,Activos!$B$3:$B$16),2),"")</f>
        <v/>
      </c>
      <c r="C93" s="27"/>
      <c r="D93" s="27"/>
      <c r="E93" s="25"/>
      <c r="F93" s="26" t="str">
        <f>IF(E93='Tablas AR'!$B$4,1,IF('Análisis de Riesgos'!E93='Tablas AR'!$B$5,2,IF('Análisis de Riesgos'!E93='Tablas AR'!$B$6,3,"")))</f>
        <v/>
      </c>
      <c r="G93" s="25"/>
      <c r="H93" s="26" t="str">
        <f>IF(G93='Tablas AR'!$B$10,1,IF('Análisis de Riesgos'!G93='Tablas AR'!$B$11,2,IF('Análisis de Riesgos'!G93='Tablas AR'!$B$12,3,"")))</f>
        <v/>
      </c>
      <c r="I93" s="26" t="str">
        <f t="shared" si="1"/>
        <v/>
      </c>
    </row>
    <row r="94" spans="2:9" x14ac:dyDescent="0.3">
      <c r="B94" s="27" t="str">
        <f>IFERROR(INDEX(Activos!$B$3:$C$16, MATCH(C94,Activos!$B$3:$B$16),2),"")</f>
        <v/>
      </c>
      <c r="C94" s="27"/>
      <c r="D94" s="27"/>
      <c r="E94" s="25"/>
      <c r="F94" s="26" t="str">
        <f>IF(E94='Tablas AR'!$B$4,1,IF('Análisis de Riesgos'!E94='Tablas AR'!$B$5,2,IF('Análisis de Riesgos'!E94='Tablas AR'!$B$6,3,"")))</f>
        <v/>
      </c>
      <c r="G94" s="25"/>
      <c r="H94" s="26" t="str">
        <f>IF(G94='Tablas AR'!$B$10,1,IF('Análisis de Riesgos'!G94='Tablas AR'!$B$11,2,IF('Análisis de Riesgos'!G94='Tablas AR'!$B$12,3,"")))</f>
        <v/>
      </c>
      <c r="I94" s="26" t="str">
        <f t="shared" si="1"/>
        <v/>
      </c>
    </row>
    <row r="95" spans="2:9" x14ac:dyDescent="0.3">
      <c r="B95" s="27" t="str">
        <f>IFERROR(INDEX(Activos!$B$3:$C$16, MATCH(C95,Activos!$B$3:$B$16),2),"")</f>
        <v/>
      </c>
      <c r="C95" s="27"/>
      <c r="D95" s="27"/>
      <c r="E95" s="25"/>
      <c r="F95" s="26" t="str">
        <f>IF(E95='Tablas AR'!$B$4,1,IF('Análisis de Riesgos'!E95='Tablas AR'!$B$5,2,IF('Análisis de Riesgos'!E95='Tablas AR'!$B$6,3,"")))</f>
        <v/>
      </c>
      <c r="G95" s="25"/>
      <c r="H95" s="26" t="str">
        <f>IF(G95='Tablas AR'!$B$10,1,IF('Análisis de Riesgos'!G95='Tablas AR'!$B$11,2,IF('Análisis de Riesgos'!G95='Tablas AR'!$B$12,3,"")))</f>
        <v/>
      </c>
      <c r="I95" s="26" t="str">
        <f t="shared" si="1"/>
        <v/>
      </c>
    </row>
    <row r="96" spans="2:9" x14ac:dyDescent="0.3">
      <c r="B96" s="27" t="str">
        <f>IFERROR(INDEX(Activos!$B$3:$C$16, MATCH(C96,Activos!$B$3:$B$16),2),"")</f>
        <v/>
      </c>
      <c r="C96" s="27"/>
      <c r="D96" s="27"/>
      <c r="E96" s="25"/>
      <c r="F96" s="26" t="str">
        <f>IF(E96='Tablas AR'!$B$4,1,IF('Análisis de Riesgos'!E96='Tablas AR'!$B$5,2,IF('Análisis de Riesgos'!E96='Tablas AR'!$B$6,3,"")))</f>
        <v/>
      </c>
      <c r="G96" s="25"/>
      <c r="H96" s="26" t="str">
        <f>IF(G96='Tablas AR'!$B$10,1,IF('Análisis de Riesgos'!G96='Tablas AR'!$B$11,2,IF('Análisis de Riesgos'!G96='Tablas AR'!$B$12,3,"")))</f>
        <v/>
      </c>
      <c r="I96" s="26" t="str">
        <f t="shared" si="1"/>
        <v/>
      </c>
    </row>
    <row r="97" spans="2:9" x14ac:dyDescent="0.3">
      <c r="B97" s="27" t="str">
        <f>IFERROR(INDEX(Activos!$B$3:$C$16, MATCH(C97,Activos!$B$3:$B$16),2),"")</f>
        <v/>
      </c>
      <c r="C97" s="27"/>
      <c r="D97" s="27"/>
      <c r="E97" s="25"/>
      <c r="F97" s="26" t="str">
        <f>IF(E97='Tablas AR'!$B$4,1,IF('Análisis de Riesgos'!E97='Tablas AR'!$B$5,2,IF('Análisis de Riesgos'!E97='Tablas AR'!$B$6,3,"")))</f>
        <v/>
      </c>
      <c r="G97" s="25"/>
      <c r="H97" s="26" t="str">
        <f>IF(G97='Tablas AR'!$B$10,1,IF('Análisis de Riesgos'!G97='Tablas AR'!$B$11,2,IF('Análisis de Riesgos'!G97='Tablas AR'!$B$12,3,"")))</f>
        <v/>
      </c>
      <c r="I97" s="26" t="str">
        <f t="shared" si="1"/>
        <v/>
      </c>
    </row>
    <row r="98" spans="2:9" x14ac:dyDescent="0.3">
      <c r="B98" s="27" t="str">
        <f>IFERROR(INDEX(Activos!$B$3:$C$16, MATCH(C98,Activos!$B$3:$B$16),2),"")</f>
        <v/>
      </c>
      <c r="C98" s="27"/>
      <c r="D98" s="27"/>
      <c r="E98" s="25"/>
      <c r="F98" s="26" t="str">
        <f>IF(E98='Tablas AR'!$B$4,1,IF('Análisis de Riesgos'!E98='Tablas AR'!$B$5,2,IF('Análisis de Riesgos'!E98='Tablas AR'!$B$6,3,"")))</f>
        <v/>
      </c>
      <c r="G98" s="25"/>
      <c r="H98" s="26" t="str">
        <f>IF(G98='Tablas AR'!$B$10,1,IF('Análisis de Riesgos'!G98='Tablas AR'!$B$11,2,IF('Análisis de Riesgos'!G98='Tablas AR'!$B$12,3,"")))</f>
        <v/>
      </c>
      <c r="I98" s="26" t="str">
        <f t="shared" si="1"/>
        <v/>
      </c>
    </row>
    <row r="99" spans="2:9" x14ac:dyDescent="0.3">
      <c r="B99" s="27" t="str">
        <f>IFERROR(INDEX(Activos!$B$3:$C$16, MATCH(C99,Activos!$B$3:$B$16),2),"")</f>
        <v/>
      </c>
      <c r="C99" s="27"/>
      <c r="D99" s="27"/>
      <c r="E99" s="25"/>
      <c r="F99" s="26" t="str">
        <f>IF(E99='Tablas AR'!$B$4,1,IF('Análisis de Riesgos'!E99='Tablas AR'!$B$5,2,IF('Análisis de Riesgos'!E99='Tablas AR'!$B$6,3,"")))</f>
        <v/>
      </c>
      <c r="G99" s="25"/>
      <c r="H99" s="26" t="str">
        <f>IF(G99='Tablas AR'!$B$10,1,IF('Análisis de Riesgos'!G99='Tablas AR'!$B$11,2,IF('Análisis de Riesgos'!G99='Tablas AR'!$B$12,3,"")))</f>
        <v/>
      </c>
      <c r="I99" s="26" t="str">
        <f t="shared" si="1"/>
        <v/>
      </c>
    </row>
    <row r="100" spans="2:9" x14ac:dyDescent="0.3">
      <c r="B100" s="27" t="str">
        <f>IFERROR(INDEX(Activos!$B$3:$C$16, MATCH(C100,Activos!$B$3:$B$16),2),"")</f>
        <v/>
      </c>
      <c r="C100" s="27"/>
      <c r="D100" s="27"/>
      <c r="E100" s="25"/>
      <c r="F100" s="26" t="str">
        <f>IF(E100='Tablas AR'!$B$4,1,IF('Análisis de Riesgos'!E100='Tablas AR'!$B$5,2,IF('Análisis de Riesgos'!E100='Tablas AR'!$B$6,3,"")))</f>
        <v/>
      </c>
      <c r="G100" s="25"/>
      <c r="H100" s="26" t="str">
        <f>IF(G100='Tablas AR'!$B$10,1,IF('Análisis de Riesgos'!G100='Tablas AR'!$B$11,2,IF('Análisis de Riesgos'!G100='Tablas AR'!$B$12,3,"")))</f>
        <v/>
      </c>
      <c r="I100" s="26" t="str">
        <f t="shared" si="1"/>
        <v/>
      </c>
    </row>
    <row r="101" spans="2:9" x14ac:dyDescent="0.3">
      <c r="B101" s="27" t="str">
        <f>IFERROR(INDEX(Activos!$B$3:$C$16, MATCH(C101,Activos!$B$3:$B$16),2),"")</f>
        <v/>
      </c>
      <c r="C101" s="27"/>
      <c r="D101" s="27"/>
      <c r="E101" s="25"/>
      <c r="F101" s="26" t="str">
        <f>IF(E101='Tablas AR'!$B$4,1,IF('Análisis de Riesgos'!E101='Tablas AR'!$B$5,2,IF('Análisis de Riesgos'!E101='Tablas AR'!$B$6,3,"")))</f>
        <v/>
      </c>
      <c r="G101" s="25"/>
      <c r="H101" s="26" t="str">
        <f>IF(G101='Tablas AR'!$B$10,1,IF('Análisis de Riesgos'!G101='Tablas AR'!$B$11,2,IF('Análisis de Riesgos'!G101='Tablas AR'!$B$12,3,"")))</f>
        <v/>
      </c>
      <c r="I101" s="26" t="str">
        <f t="shared" si="1"/>
        <v/>
      </c>
    </row>
    <row r="102" spans="2:9" x14ac:dyDescent="0.3">
      <c r="B102" s="27" t="str">
        <f>IFERROR(INDEX(Activos!$B$3:$C$16, MATCH(C102,Activos!$B$3:$B$16),2),"")</f>
        <v/>
      </c>
      <c r="C102" s="27"/>
      <c r="D102" s="27"/>
      <c r="E102" s="25"/>
      <c r="F102" s="26" t="str">
        <f>IF(E102='Tablas AR'!$B$4,1,IF('Análisis de Riesgos'!E102='Tablas AR'!$B$5,2,IF('Análisis de Riesgos'!E102='Tablas AR'!$B$6,3,"")))</f>
        <v/>
      </c>
      <c r="G102" s="25"/>
      <c r="H102" s="26" t="str">
        <f>IF(G102='Tablas AR'!$B$10,1,IF('Análisis de Riesgos'!G102='Tablas AR'!$B$11,2,IF('Análisis de Riesgos'!G102='Tablas AR'!$B$12,3,"")))</f>
        <v/>
      </c>
      <c r="I102" s="26" t="str">
        <f t="shared" si="1"/>
        <v/>
      </c>
    </row>
    <row r="103" spans="2:9" x14ac:dyDescent="0.3">
      <c r="B103" s="27" t="str">
        <f>IFERROR(INDEX(Activos!$B$3:$C$16, MATCH(C103,Activos!$B$3:$B$16),2),"")</f>
        <v/>
      </c>
      <c r="C103" s="27"/>
      <c r="D103" s="27"/>
      <c r="E103" s="25"/>
      <c r="F103" s="26" t="str">
        <f>IF(E103='Tablas AR'!$B$4,1,IF('Análisis de Riesgos'!E103='Tablas AR'!$B$5,2,IF('Análisis de Riesgos'!E103='Tablas AR'!$B$6,3,"")))</f>
        <v/>
      </c>
      <c r="G103" s="25"/>
      <c r="H103" s="26" t="str">
        <f>IF(G103='Tablas AR'!$B$10,1,IF('Análisis de Riesgos'!G103='Tablas AR'!$B$11,2,IF('Análisis de Riesgos'!G103='Tablas AR'!$B$12,3,"")))</f>
        <v/>
      </c>
      <c r="I103" s="26" t="str">
        <f t="shared" si="1"/>
        <v/>
      </c>
    </row>
    <row r="104" spans="2:9" x14ac:dyDescent="0.3">
      <c r="B104" s="27" t="str">
        <f>IFERROR(INDEX(Activos!$B$3:$C$16, MATCH(C104,Activos!$B$3:$B$16),2),"")</f>
        <v/>
      </c>
      <c r="C104" s="27"/>
      <c r="D104" s="27"/>
      <c r="E104" s="25"/>
      <c r="F104" s="26" t="str">
        <f>IF(E104='Tablas AR'!$B$4,1,IF('Análisis de Riesgos'!E104='Tablas AR'!$B$5,2,IF('Análisis de Riesgos'!E104='Tablas AR'!$B$6,3,"")))</f>
        <v/>
      </c>
      <c r="G104" s="25"/>
      <c r="H104" s="26" t="str">
        <f>IF(G104='Tablas AR'!$B$10,1,IF('Análisis de Riesgos'!G104='Tablas AR'!$B$11,2,IF('Análisis de Riesgos'!G104='Tablas AR'!$B$12,3,"")))</f>
        <v/>
      </c>
      <c r="I104" s="26" t="str">
        <f t="shared" si="1"/>
        <v/>
      </c>
    </row>
    <row r="105" spans="2:9" x14ac:dyDescent="0.3">
      <c r="B105" s="27" t="str">
        <f>IFERROR(INDEX(Activos!$B$3:$C$16, MATCH(C105,Activos!$B$3:$B$16),2),"")</f>
        <v/>
      </c>
      <c r="C105" s="27"/>
      <c r="D105" s="27"/>
      <c r="E105" s="25"/>
      <c r="F105" s="26" t="str">
        <f>IF(E105='Tablas AR'!$B$4,1,IF('Análisis de Riesgos'!E105='Tablas AR'!$B$5,2,IF('Análisis de Riesgos'!E105='Tablas AR'!$B$6,3,"")))</f>
        <v/>
      </c>
      <c r="G105" s="25"/>
      <c r="H105" s="26" t="str">
        <f>IF(G105='Tablas AR'!$B$10,1,IF('Análisis de Riesgos'!G105='Tablas AR'!$B$11,2,IF('Análisis de Riesgos'!G105='Tablas AR'!$B$12,3,"")))</f>
        <v/>
      </c>
      <c r="I105" s="26" t="str">
        <f t="shared" si="1"/>
        <v/>
      </c>
    </row>
    <row r="106" spans="2:9" x14ac:dyDescent="0.3">
      <c r="B106" s="27" t="str">
        <f>IFERROR(INDEX(Activos!$B$3:$C$16, MATCH(C106,Activos!$B$3:$B$16),2),"")</f>
        <v/>
      </c>
      <c r="C106" s="27"/>
      <c r="D106" s="27"/>
      <c r="E106" s="25"/>
      <c r="F106" s="26" t="str">
        <f>IF(E106='Tablas AR'!$B$4,1,IF('Análisis de Riesgos'!E106='Tablas AR'!$B$5,2,IF('Análisis de Riesgos'!E106='Tablas AR'!$B$6,3,"")))</f>
        <v/>
      </c>
      <c r="G106" s="25"/>
      <c r="H106" s="26" t="str">
        <f>IF(G106='Tablas AR'!$B$10,1,IF('Análisis de Riesgos'!G106='Tablas AR'!$B$11,2,IF('Análisis de Riesgos'!G106='Tablas AR'!$B$12,3,"")))</f>
        <v/>
      </c>
      <c r="I106" s="26" t="str">
        <f t="shared" si="1"/>
        <v/>
      </c>
    </row>
    <row r="107" spans="2:9" x14ac:dyDescent="0.3">
      <c r="B107" s="27" t="str">
        <f>IFERROR(INDEX(Activos!$B$3:$C$16, MATCH(C107,Activos!$B$3:$B$16),2),"")</f>
        <v/>
      </c>
      <c r="C107" s="27"/>
      <c r="D107" s="27"/>
      <c r="E107" s="25"/>
      <c r="F107" s="26" t="str">
        <f>IF(E107='Tablas AR'!$B$4,1,IF('Análisis de Riesgos'!E107='Tablas AR'!$B$5,2,IF('Análisis de Riesgos'!E107='Tablas AR'!$B$6,3,"")))</f>
        <v/>
      </c>
      <c r="G107" s="25"/>
      <c r="H107" s="26" t="str">
        <f>IF(G107='Tablas AR'!$B$10,1,IF('Análisis de Riesgos'!G107='Tablas AR'!$B$11,2,IF('Análisis de Riesgos'!G107='Tablas AR'!$B$12,3,"")))</f>
        <v/>
      </c>
      <c r="I107" s="26" t="str">
        <f t="shared" si="1"/>
        <v/>
      </c>
    </row>
    <row r="108" spans="2:9" x14ac:dyDescent="0.3">
      <c r="B108" s="27" t="str">
        <f>IFERROR(INDEX(Activos!$B$3:$C$16, MATCH(C108,Activos!$B$3:$B$16),2),"")</f>
        <v/>
      </c>
      <c r="C108" s="27"/>
      <c r="D108" s="27"/>
      <c r="E108" s="25"/>
      <c r="F108" s="26" t="str">
        <f>IF(E108='Tablas AR'!$B$4,1,IF('Análisis de Riesgos'!E108='Tablas AR'!$B$5,2,IF('Análisis de Riesgos'!E108='Tablas AR'!$B$6,3,"")))</f>
        <v/>
      </c>
      <c r="G108" s="25"/>
      <c r="H108" s="26" t="str">
        <f>IF(G108='Tablas AR'!$B$10,1,IF('Análisis de Riesgos'!G108='Tablas AR'!$B$11,2,IF('Análisis de Riesgos'!G108='Tablas AR'!$B$12,3,"")))</f>
        <v/>
      </c>
      <c r="I108" s="26" t="str">
        <f t="shared" si="1"/>
        <v/>
      </c>
    </row>
    <row r="109" spans="2:9" x14ac:dyDescent="0.3">
      <c r="B109" s="27" t="str">
        <f>IFERROR(INDEX(Activos!$B$3:$C$16, MATCH(C109,Activos!$B$3:$B$16),2),"")</f>
        <v/>
      </c>
      <c r="C109" s="27"/>
      <c r="D109" s="27"/>
      <c r="E109" s="25"/>
      <c r="F109" s="26" t="str">
        <f>IF(E109='Tablas AR'!$B$4,1,IF('Análisis de Riesgos'!E109='Tablas AR'!$B$5,2,IF('Análisis de Riesgos'!E109='Tablas AR'!$B$6,3,"")))</f>
        <v/>
      </c>
      <c r="G109" s="25"/>
      <c r="H109" s="26" t="str">
        <f>IF(G109='Tablas AR'!$B$10,1,IF('Análisis de Riesgos'!G109='Tablas AR'!$B$11,2,IF('Análisis de Riesgos'!G109='Tablas AR'!$B$12,3,"")))</f>
        <v/>
      </c>
      <c r="I109" s="26" t="str">
        <f t="shared" si="1"/>
        <v/>
      </c>
    </row>
    <row r="110" spans="2:9" x14ac:dyDescent="0.3">
      <c r="B110" s="27" t="str">
        <f>IFERROR(INDEX(Activos!$B$3:$C$16, MATCH(C110,Activos!$B$3:$B$16),2),"")</f>
        <v/>
      </c>
      <c r="C110" s="27"/>
      <c r="D110" s="27"/>
      <c r="E110" s="25"/>
      <c r="F110" s="26" t="str">
        <f>IF(E110='Tablas AR'!$B$4,1,IF('Análisis de Riesgos'!E110='Tablas AR'!$B$5,2,IF('Análisis de Riesgos'!E110='Tablas AR'!$B$6,3,"")))</f>
        <v/>
      </c>
      <c r="G110" s="25"/>
      <c r="H110" s="26" t="str">
        <f>IF(G110='Tablas AR'!$B$10,1,IF('Análisis de Riesgos'!G110='Tablas AR'!$B$11,2,IF('Análisis de Riesgos'!G110='Tablas AR'!$B$12,3,"")))</f>
        <v/>
      </c>
      <c r="I110" s="26" t="str">
        <f t="shared" si="1"/>
        <v/>
      </c>
    </row>
    <row r="111" spans="2:9" x14ac:dyDescent="0.3">
      <c r="B111" s="27" t="str">
        <f>IFERROR(INDEX(Activos!$B$3:$C$16, MATCH(C111,Activos!$B$3:$B$16),2),"")</f>
        <v/>
      </c>
      <c r="C111" s="27"/>
      <c r="D111" s="27"/>
      <c r="E111" s="25"/>
      <c r="F111" s="26" t="str">
        <f>IF(E111='Tablas AR'!$B$4,1,IF('Análisis de Riesgos'!E111='Tablas AR'!$B$5,2,IF('Análisis de Riesgos'!E111='Tablas AR'!$B$6,3,"")))</f>
        <v/>
      </c>
      <c r="G111" s="25"/>
      <c r="H111" s="26" t="str">
        <f>IF(G111='Tablas AR'!$B$10,1,IF('Análisis de Riesgos'!G111='Tablas AR'!$B$11,2,IF('Análisis de Riesgos'!G111='Tablas AR'!$B$12,3,"")))</f>
        <v/>
      </c>
      <c r="I111" s="26" t="str">
        <f t="shared" si="1"/>
        <v/>
      </c>
    </row>
    <row r="112" spans="2:9" x14ac:dyDescent="0.3">
      <c r="B112" s="27" t="str">
        <f>IFERROR(INDEX(Activos!$B$3:$C$16, MATCH(C112,Activos!$B$3:$B$16),2),"")</f>
        <v/>
      </c>
      <c r="C112" s="27"/>
      <c r="D112" s="27"/>
      <c r="E112" s="25"/>
      <c r="F112" s="26" t="str">
        <f>IF(E112='Tablas AR'!$B$4,1,IF('Análisis de Riesgos'!E112='Tablas AR'!$B$5,2,IF('Análisis de Riesgos'!E112='Tablas AR'!$B$6,3,"")))</f>
        <v/>
      </c>
      <c r="G112" s="25"/>
      <c r="H112" s="26" t="str">
        <f>IF(G112='Tablas AR'!$B$10,1,IF('Análisis de Riesgos'!G112='Tablas AR'!$B$11,2,IF('Análisis de Riesgos'!G112='Tablas AR'!$B$12,3,"")))</f>
        <v/>
      </c>
      <c r="I112" s="26" t="str">
        <f t="shared" si="1"/>
        <v/>
      </c>
    </row>
    <row r="113" spans="2:9" x14ac:dyDescent="0.3">
      <c r="B113" s="27" t="str">
        <f>IFERROR(INDEX(Activos!$B$3:$C$16, MATCH(C113,Activos!$B$3:$B$16),2),"")</f>
        <v/>
      </c>
      <c r="C113" s="27"/>
      <c r="D113" s="27"/>
      <c r="E113" s="25"/>
      <c r="F113" s="26" t="str">
        <f>IF(E113='Tablas AR'!$B$4,1,IF('Análisis de Riesgos'!E113='Tablas AR'!$B$5,2,IF('Análisis de Riesgos'!E113='Tablas AR'!$B$6,3,"")))</f>
        <v/>
      </c>
      <c r="G113" s="25"/>
      <c r="H113" s="26" t="str">
        <f>IF(G113='Tablas AR'!$B$10,1,IF('Análisis de Riesgos'!G113='Tablas AR'!$B$11,2,IF('Análisis de Riesgos'!G113='Tablas AR'!$B$12,3,"")))</f>
        <v/>
      </c>
      <c r="I113" s="26" t="str">
        <f t="shared" si="1"/>
        <v/>
      </c>
    </row>
    <row r="114" spans="2:9" x14ac:dyDescent="0.3">
      <c r="B114" s="27" t="str">
        <f>IFERROR(INDEX(Activos!$B$3:$C$16, MATCH(C114,Activos!$B$3:$B$16),2),"")</f>
        <v/>
      </c>
      <c r="C114" s="27"/>
      <c r="D114" s="27"/>
      <c r="E114" s="25"/>
      <c r="F114" s="26" t="str">
        <f>IF(E114='Tablas AR'!$B$4,1,IF('Análisis de Riesgos'!E114='Tablas AR'!$B$5,2,IF('Análisis de Riesgos'!E114='Tablas AR'!$B$6,3,"")))</f>
        <v/>
      </c>
      <c r="G114" s="25"/>
      <c r="H114" s="26" t="str">
        <f>IF(G114='Tablas AR'!$B$10,1,IF('Análisis de Riesgos'!G114='Tablas AR'!$B$11,2,IF('Análisis de Riesgos'!G114='Tablas AR'!$B$12,3,"")))</f>
        <v/>
      </c>
      <c r="I114" s="26" t="str">
        <f t="shared" si="1"/>
        <v/>
      </c>
    </row>
    <row r="115" spans="2:9" x14ac:dyDescent="0.3">
      <c r="B115" s="27" t="str">
        <f>IFERROR(INDEX(Activos!$B$3:$C$16, MATCH(C115,Activos!$B$3:$B$16),2),"")</f>
        <v/>
      </c>
      <c r="C115" s="27"/>
      <c r="D115" s="27"/>
      <c r="E115" s="25"/>
      <c r="F115" s="26" t="str">
        <f>IF(E115='Tablas AR'!$B$4,1,IF('Análisis de Riesgos'!E115='Tablas AR'!$B$5,2,IF('Análisis de Riesgos'!E115='Tablas AR'!$B$6,3,"")))</f>
        <v/>
      </c>
      <c r="G115" s="25"/>
      <c r="H115" s="26" t="str">
        <f>IF(G115='Tablas AR'!$B$10,1,IF('Análisis de Riesgos'!G115='Tablas AR'!$B$11,2,IF('Análisis de Riesgos'!G115='Tablas AR'!$B$12,3,"")))</f>
        <v/>
      </c>
      <c r="I115" s="26" t="str">
        <f t="shared" si="1"/>
        <v/>
      </c>
    </row>
    <row r="116" spans="2:9" x14ac:dyDescent="0.3">
      <c r="B116" s="27" t="str">
        <f>IFERROR(INDEX(Activos!$B$3:$C$16, MATCH(C116,Activos!$B$3:$B$16),2),"")</f>
        <v/>
      </c>
      <c r="C116" s="27"/>
      <c r="D116" s="27"/>
      <c r="E116" s="25"/>
      <c r="F116" s="26" t="str">
        <f>IF(E116='Tablas AR'!$B$4,1,IF('Análisis de Riesgos'!E116='Tablas AR'!$B$5,2,IF('Análisis de Riesgos'!E116='Tablas AR'!$B$6,3,"")))</f>
        <v/>
      </c>
      <c r="G116" s="25"/>
      <c r="H116" s="26" t="str">
        <f>IF(G116='Tablas AR'!$B$10,1,IF('Análisis de Riesgos'!G116='Tablas AR'!$B$11,2,IF('Análisis de Riesgos'!G116='Tablas AR'!$B$12,3,"")))</f>
        <v/>
      </c>
      <c r="I116" s="26" t="str">
        <f t="shared" si="1"/>
        <v/>
      </c>
    </row>
    <row r="117" spans="2:9" x14ac:dyDescent="0.3">
      <c r="B117" s="27" t="str">
        <f>IFERROR(INDEX(Activos!$B$3:$C$16, MATCH(C117,Activos!$B$3:$B$16),2),"")</f>
        <v/>
      </c>
      <c r="C117" s="27"/>
      <c r="D117" s="27"/>
      <c r="E117" s="25"/>
      <c r="F117" s="26" t="str">
        <f>IF(E117='Tablas AR'!$B$4,1,IF('Análisis de Riesgos'!E117='Tablas AR'!$B$5,2,IF('Análisis de Riesgos'!E117='Tablas AR'!$B$6,3,"")))</f>
        <v/>
      </c>
      <c r="G117" s="25"/>
      <c r="H117" s="26" t="str">
        <f>IF(G117='Tablas AR'!$B$10,1,IF('Análisis de Riesgos'!G117='Tablas AR'!$B$11,2,IF('Análisis de Riesgos'!G117='Tablas AR'!$B$12,3,"")))</f>
        <v/>
      </c>
      <c r="I117" s="26" t="str">
        <f t="shared" si="1"/>
        <v/>
      </c>
    </row>
    <row r="118" spans="2:9" x14ac:dyDescent="0.3">
      <c r="B118" s="27" t="str">
        <f>IFERROR(INDEX(Activos!$B$3:$C$16, MATCH(C118,Activos!$B$3:$B$16),2),"")</f>
        <v/>
      </c>
      <c r="C118" s="27"/>
      <c r="D118" s="27"/>
      <c r="E118" s="25"/>
      <c r="F118" s="26" t="str">
        <f>IF(E118='Tablas AR'!$B$4,1,IF('Análisis de Riesgos'!E118='Tablas AR'!$B$5,2,IF('Análisis de Riesgos'!E118='Tablas AR'!$B$6,3,"")))</f>
        <v/>
      </c>
      <c r="G118" s="25"/>
      <c r="H118" s="26" t="str">
        <f>IF(G118='Tablas AR'!$B$10,1,IF('Análisis de Riesgos'!G118='Tablas AR'!$B$11,2,IF('Análisis de Riesgos'!G118='Tablas AR'!$B$12,3,"")))</f>
        <v/>
      </c>
      <c r="I118" s="26" t="str">
        <f t="shared" si="1"/>
        <v/>
      </c>
    </row>
    <row r="119" spans="2:9" x14ac:dyDescent="0.3">
      <c r="B119" s="27" t="str">
        <f>IFERROR(INDEX(Activos!$B$3:$C$16, MATCH(C119,Activos!$B$3:$B$16),2),"")</f>
        <v/>
      </c>
      <c r="C119" s="27"/>
      <c r="D119" s="27"/>
      <c r="E119" s="25"/>
      <c r="F119" s="26" t="str">
        <f>IF(E119='Tablas AR'!$B$4,1,IF('Análisis de Riesgos'!E119='Tablas AR'!$B$5,2,IF('Análisis de Riesgos'!E119='Tablas AR'!$B$6,3,"")))</f>
        <v/>
      </c>
      <c r="G119" s="25"/>
      <c r="H119" s="26" t="str">
        <f>IF(G119='Tablas AR'!$B$10,1,IF('Análisis de Riesgos'!G119='Tablas AR'!$B$11,2,IF('Análisis de Riesgos'!G119='Tablas AR'!$B$12,3,"")))</f>
        <v/>
      </c>
      <c r="I119" s="26" t="str">
        <f t="shared" si="1"/>
        <v/>
      </c>
    </row>
    <row r="120" spans="2:9" x14ac:dyDescent="0.3">
      <c r="B120" s="27" t="str">
        <f>IFERROR(INDEX(Activos!$B$3:$C$16, MATCH(C120,Activos!$B$3:$B$16),2),"")</f>
        <v/>
      </c>
      <c r="C120" s="27"/>
      <c r="D120" s="27"/>
      <c r="E120" s="25"/>
      <c r="F120" s="26" t="str">
        <f>IF(E120='Tablas AR'!$B$4,1,IF('Análisis de Riesgos'!E120='Tablas AR'!$B$5,2,IF('Análisis de Riesgos'!E120='Tablas AR'!$B$6,3,"")))</f>
        <v/>
      </c>
      <c r="G120" s="25"/>
      <c r="H120" s="26" t="str">
        <f>IF(G120='Tablas AR'!$B$10,1,IF('Análisis de Riesgos'!G120='Tablas AR'!$B$11,2,IF('Análisis de Riesgos'!G120='Tablas AR'!$B$12,3,"")))</f>
        <v/>
      </c>
      <c r="I120" s="26" t="str">
        <f t="shared" si="1"/>
        <v/>
      </c>
    </row>
    <row r="121" spans="2:9" x14ac:dyDescent="0.3">
      <c r="B121" s="27" t="str">
        <f>IFERROR(INDEX(Activos!$B$3:$C$16, MATCH(C121,Activos!$B$3:$B$16),2),"")</f>
        <v/>
      </c>
      <c r="C121" s="27"/>
      <c r="D121" s="27"/>
      <c r="E121" s="25"/>
      <c r="F121" s="26" t="str">
        <f>IF(E121='Tablas AR'!$B$4,1,IF('Análisis de Riesgos'!E121='Tablas AR'!$B$5,2,IF('Análisis de Riesgos'!E121='Tablas AR'!$B$6,3,"")))</f>
        <v/>
      </c>
      <c r="G121" s="25"/>
      <c r="H121" s="26" t="str">
        <f>IF(G121='Tablas AR'!$B$10,1,IF('Análisis de Riesgos'!G121='Tablas AR'!$B$11,2,IF('Análisis de Riesgos'!G121='Tablas AR'!$B$12,3,"")))</f>
        <v/>
      </c>
      <c r="I121" s="26" t="str">
        <f t="shared" si="1"/>
        <v/>
      </c>
    </row>
    <row r="122" spans="2:9" x14ac:dyDescent="0.3">
      <c r="B122" s="27" t="str">
        <f>IFERROR(INDEX(Activos!$B$3:$C$16, MATCH(C122,Activos!$B$3:$B$16),2),"")</f>
        <v/>
      </c>
      <c r="C122" s="27"/>
      <c r="D122" s="27"/>
      <c r="E122" s="25"/>
      <c r="F122" s="26" t="str">
        <f>IF(E122='Tablas AR'!$B$4,1,IF('Análisis de Riesgos'!E122='Tablas AR'!$B$5,2,IF('Análisis de Riesgos'!E122='Tablas AR'!$B$6,3,"")))</f>
        <v/>
      </c>
      <c r="G122" s="25"/>
      <c r="H122" s="26" t="str">
        <f>IF(G122='Tablas AR'!$B$10,1,IF('Análisis de Riesgos'!G122='Tablas AR'!$B$11,2,IF('Análisis de Riesgos'!G122='Tablas AR'!$B$12,3,"")))</f>
        <v/>
      </c>
      <c r="I122" s="26" t="str">
        <f t="shared" si="1"/>
        <v/>
      </c>
    </row>
    <row r="123" spans="2:9" x14ac:dyDescent="0.3">
      <c r="B123" s="27" t="str">
        <f>IFERROR(INDEX(Activos!$B$3:$C$16, MATCH(C123,Activos!$B$3:$B$16),2),"")</f>
        <v/>
      </c>
      <c r="C123" s="27"/>
      <c r="D123" s="27"/>
      <c r="E123" s="25"/>
      <c r="F123" s="26" t="str">
        <f>IF(E123='Tablas AR'!$B$4,1,IF('Análisis de Riesgos'!E123='Tablas AR'!$B$5,2,IF('Análisis de Riesgos'!E123='Tablas AR'!$B$6,3,"")))</f>
        <v/>
      </c>
      <c r="G123" s="25"/>
      <c r="H123" s="26" t="str">
        <f>IF(G123='Tablas AR'!$B$10,1,IF('Análisis de Riesgos'!G123='Tablas AR'!$B$11,2,IF('Análisis de Riesgos'!G123='Tablas AR'!$B$12,3,"")))</f>
        <v/>
      </c>
      <c r="I123" s="26" t="str">
        <f t="shared" si="1"/>
        <v/>
      </c>
    </row>
    <row r="124" spans="2:9" x14ac:dyDescent="0.3">
      <c r="B124" s="27" t="str">
        <f>IFERROR(INDEX(Activos!$B$3:$C$16, MATCH(C124,Activos!$B$3:$B$16),2),"")</f>
        <v/>
      </c>
      <c r="C124" s="27"/>
      <c r="D124" s="27"/>
      <c r="E124" s="25"/>
      <c r="F124" s="26" t="str">
        <f>IF(E124='Tablas AR'!$B$4,1,IF('Análisis de Riesgos'!E124='Tablas AR'!$B$5,2,IF('Análisis de Riesgos'!E124='Tablas AR'!$B$6,3,"")))</f>
        <v/>
      </c>
      <c r="G124" s="25"/>
      <c r="H124" s="26" t="str">
        <f>IF(G124='Tablas AR'!$B$10,1,IF('Análisis de Riesgos'!G124='Tablas AR'!$B$11,2,IF('Análisis de Riesgos'!G124='Tablas AR'!$B$12,3,"")))</f>
        <v/>
      </c>
      <c r="I124" s="26" t="str">
        <f t="shared" si="1"/>
        <v/>
      </c>
    </row>
    <row r="125" spans="2:9" x14ac:dyDescent="0.3">
      <c r="B125" s="27" t="str">
        <f>IFERROR(INDEX(Activos!$B$3:$C$16, MATCH(C125,Activos!$B$3:$B$16),2),"")</f>
        <v/>
      </c>
      <c r="C125" s="27"/>
      <c r="D125" s="27"/>
      <c r="E125" s="25"/>
      <c r="F125" s="26" t="str">
        <f>IF(E125='Tablas AR'!$B$4,1,IF('Análisis de Riesgos'!E125='Tablas AR'!$B$5,2,IF('Análisis de Riesgos'!E125='Tablas AR'!$B$6,3,"")))</f>
        <v/>
      </c>
      <c r="G125" s="25"/>
      <c r="H125" s="26" t="str">
        <f>IF(G125='Tablas AR'!$B$10,1,IF('Análisis de Riesgos'!G125='Tablas AR'!$B$11,2,IF('Análisis de Riesgos'!G125='Tablas AR'!$B$12,3,"")))</f>
        <v/>
      </c>
      <c r="I125" s="26" t="str">
        <f t="shared" si="1"/>
        <v/>
      </c>
    </row>
    <row r="126" spans="2:9" x14ac:dyDescent="0.3">
      <c r="B126" s="27" t="str">
        <f>IFERROR(INDEX(Activos!$B$3:$C$16, MATCH(C126,Activos!$B$3:$B$16),2),"")</f>
        <v/>
      </c>
      <c r="C126" s="27"/>
      <c r="D126" s="27"/>
      <c r="E126" s="25"/>
      <c r="F126" s="26" t="str">
        <f>IF(E126='Tablas AR'!$B$4,1,IF('Análisis de Riesgos'!E126='Tablas AR'!$B$5,2,IF('Análisis de Riesgos'!E126='Tablas AR'!$B$6,3,"")))</f>
        <v/>
      </c>
      <c r="G126" s="25"/>
      <c r="H126" s="26" t="str">
        <f>IF(G126='Tablas AR'!$B$10,1,IF('Análisis de Riesgos'!G126='Tablas AR'!$B$11,2,IF('Análisis de Riesgos'!G126='Tablas AR'!$B$12,3,"")))</f>
        <v/>
      </c>
      <c r="I126" s="26" t="str">
        <f t="shared" si="1"/>
        <v/>
      </c>
    </row>
    <row r="127" spans="2:9" x14ac:dyDescent="0.3">
      <c r="B127" s="27" t="str">
        <f>IFERROR(INDEX(Activos!$B$3:$C$16, MATCH(C127,Activos!$B$3:$B$16),2),"")</f>
        <v/>
      </c>
      <c r="C127" s="27"/>
      <c r="D127" s="27"/>
      <c r="E127" s="25"/>
      <c r="F127" s="26" t="str">
        <f>IF(E127='Tablas AR'!$B$4,1,IF('Análisis de Riesgos'!E127='Tablas AR'!$B$5,2,IF('Análisis de Riesgos'!E127='Tablas AR'!$B$6,3,"")))</f>
        <v/>
      </c>
      <c r="G127" s="25"/>
      <c r="H127" s="26" t="str">
        <f>IF(G127='Tablas AR'!$B$10,1,IF('Análisis de Riesgos'!G127='Tablas AR'!$B$11,2,IF('Análisis de Riesgos'!G127='Tablas AR'!$B$12,3,"")))</f>
        <v/>
      </c>
      <c r="I127" s="26" t="str">
        <f t="shared" si="1"/>
        <v/>
      </c>
    </row>
    <row r="128" spans="2:9" x14ac:dyDescent="0.3">
      <c r="B128" s="27" t="str">
        <f>IFERROR(INDEX(Activos!$B$3:$C$16, MATCH(C128,Activos!$B$3:$B$16),2),"")</f>
        <v/>
      </c>
      <c r="C128" s="27"/>
      <c r="D128" s="27"/>
      <c r="E128" s="25"/>
      <c r="F128" s="26" t="str">
        <f>IF(E128='Tablas AR'!$B$4,1,IF('Análisis de Riesgos'!E128='Tablas AR'!$B$5,2,IF('Análisis de Riesgos'!E128='Tablas AR'!$B$6,3,"")))</f>
        <v/>
      </c>
      <c r="G128" s="25"/>
      <c r="H128" s="26" t="str">
        <f>IF(G128='Tablas AR'!$B$10,1,IF('Análisis de Riesgos'!G128='Tablas AR'!$B$11,2,IF('Análisis de Riesgos'!G128='Tablas AR'!$B$12,3,"")))</f>
        <v/>
      </c>
      <c r="I128" s="26" t="str">
        <f t="shared" si="1"/>
        <v/>
      </c>
    </row>
    <row r="129" spans="2:9" x14ac:dyDescent="0.3">
      <c r="B129" s="27" t="str">
        <f>IFERROR(INDEX(Activos!$B$3:$C$16, MATCH(C129,Activos!$B$3:$B$16),2),"")</f>
        <v/>
      </c>
      <c r="C129" s="27"/>
      <c r="D129" s="27"/>
      <c r="E129" s="25"/>
      <c r="F129" s="26" t="str">
        <f>IF(E129='Tablas AR'!$B$4,1,IF('Análisis de Riesgos'!E129='Tablas AR'!$B$5,2,IF('Análisis de Riesgos'!E129='Tablas AR'!$B$6,3,"")))</f>
        <v/>
      </c>
      <c r="G129" s="25"/>
      <c r="H129" s="26" t="str">
        <f>IF(G129='Tablas AR'!$B$10,1,IF('Análisis de Riesgos'!G129='Tablas AR'!$B$11,2,IF('Análisis de Riesgos'!G129='Tablas AR'!$B$12,3,"")))</f>
        <v/>
      </c>
      <c r="I129" s="26" t="str">
        <f t="shared" si="1"/>
        <v/>
      </c>
    </row>
    <row r="130" spans="2:9" x14ac:dyDescent="0.3">
      <c r="B130" s="27" t="str">
        <f>IFERROR(INDEX(Activos!$B$3:$C$16, MATCH(C130,Activos!$B$3:$B$16),2),"")</f>
        <v/>
      </c>
      <c r="C130" s="27"/>
      <c r="D130" s="27"/>
      <c r="E130" s="25"/>
      <c r="F130" s="26" t="str">
        <f>IF(E130='Tablas AR'!$B$4,1,IF('Análisis de Riesgos'!E130='Tablas AR'!$B$5,2,IF('Análisis de Riesgos'!E130='Tablas AR'!$B$6,3,"")))</f>
        <v/>
      </c>
      <c r="G130" s="25"/>
      <c r="H130" s="26" t="str">
        <f>IF(G130='Tablas AR'!$B$10,1,IF('Análisis de Riesgos'!G130='Tablas AR'!$B$11,2,IF('Análisis de Riesgos'!G130='Tablas AR'!$B$12,3,"")))</f>
        <v/>
      </c>
      <c r="I130" s="26" t="str">
        <f t="shared" si="1"/>
        <v/>
      </c>
    </row>
    <row r="131" spans="2:9" x14ac:dyDescent="0.3">
      <c r="B131" s="27" t="str">
        <f>IFERROR(INDEX(Activos!$B$3:$C$16, MATCH(C131,Activos!$B$3:$B$16),2),"")</f>
        <v/>
      </c>
      <c r="C131" s="27"/>
      <c r="D131" s="27"/>
      <c r="E131" s="25"/>
      <c r="F131" s="26" t="str">
        <f>IF(E131='Tablas AR'!$B$4,1,IF('Análisis de Riesgos'!E131='Tablas AR'!$B$5,2,IF('Análisis de Riesgos'!E131='Tablas AR'!$B$6,3,"")))</f>
        <v/>
      </c>
      <c r="G131" s="25"/>
      <c r="H131" s="26" t="str">
        <f>IF(G131='Tablas AR'!$B$10,1,IF('Análisis de Riesgos'!G131='Tablas AR'!$B$11,2,IF('Análisis de Riesgos'!G131='Tablas AR'!$B$12,3,"")))</f>
        <v/>
      </c>
      <c r="I131" s="26" t="str">
        <f t="shared" si="1"/>
        <v/>
      </c>
    </row>
    <row r="132" spans="2:9" x14ac:dyDescent="0.3">
      <c r="B132" s="27" t="str">
        <f>IFERROR(INDEX(Activos!$B$3:$C$16, MATCH(C132,Activos!$B$3:$B$16),2),"")</f>
        <v/>
      </c>
      <c r="C132" s="27"/>
      <c r="D132" s="27"/>
      <c r="E132" s="25"/>
      <c r="F132" s="26" t="str">
        <f>IF(E132='Tablas AR'!$B$4,1,IF('Análisis de Riesgos'!E132='Tablas AR'!$B$5,2,IF('Análisis de Riesgos'!E132='Tablas AR'!$B$6,3,"")))</f>
        <v/>
      </c>
      <c r="G132" s="25"/>
      <c r="H132" s="26" t="str">
        <f>IF(G132='Tablas AR'!$B$10,1,IF('Análisis de Riesgos'!G132='Tablas AR'!$B$11,2,IF('Análisis de Riesgos'!G132='Tablas AR'!$B$12,3,"")))</f>
        <v/>
      </c>
      <c r="I132" s="26" t="str">
        <f t="shared" ref="I132:I195" si="2" xml:space="preserve"> IFERROR(F132*H132,"")</f>
        <v/>
      </c>
    </row>
    <row r="133" spans="2:9" x14ac:dyDescent="0.3">
      <c r="B133" s="27" t="str">
        <f>IFERROR(INDEX(Activos!$B$3:$C$16, MATCH(C133,Activos!$B$3:$B$16),2),"")</f>
        <v/>
      </c>
      <c r="C133" s="27"/>
      <c r="D133" s="27"/>
      <c r="E133" s="25"/>
      <c r="F133" s="26" t="str">
        <f>IF(E133='Tablas AR'!$B$4,1,IF('Análisis de Riesgos'!E133='Tablas AR'!$B$5,2,IF('Análisis de Riesgos'!E133='Tablas AR'!$B$6,3,"")))</f>
        <v/>
      </c>
      <c r="G133" s="25"/>
      <c r="H133" s="26" t="str">
        <f>IF(G133='Tablas AR'!$B$10,1,IF('Análisis de Riesgos'!G133='Tablas AR'!$B$11,2,IF('Análisis de Riesgos'!G133='Tablas AR'!$B$12,3,"")))</f>
        <v/>
      </c>
      <c r="I133" s="26" t="str">
        <f t="shared" si="2"/>
        <v/>
      </c>
    </row>
    <row r="134" spans="2:9" x14ac:dyDescent="0.3">
      <c r="B134" s="27" t="str">
        <f>IFERROR(INDEX(Activos!$B$3:$C$16, MATCH(C134,Activos!$B$3:$B$16),2),"")</f>
        <v/>
      </c>
      <c r="C134" s="27"/>
      <c r="D134" s="27"/>
      <c r="E134" s="25"/>
      <c r="F134" s="26" t="str">
        <f>IF(E134='Tablas AR'!$B$4,1,IF('Análisis de Riesgos'!E134='Tablas AR'!$B$5,2,IF('Análisis de Riesgos'!E134='Tablas AR'!$B$6,3,"")))</f>
        <v/>
      </c>
      <c r="G134" s="25"/>
      <c r="H134" s="26" t="str">
        <f>IF(G134='Tablas AR'!$B$10,1,IF('Análisis de Riesgos'!G134='Tablas AR'!$B$11,2,IF('Análisis de Riesgos'!G134='Tablas AR'!$B$12,3,"")))</f>
        <v/>
      </c>
      <c r="I134" s="26" t="str">
        <f t="shared" si="2"/>
        <v/>
      </c>
    </row>
    <row r="135" spans="2:9" x14ac:dyDescent="0.3">
      <c r="B135" s="27" t="str">
        <f>IFERROR(INDEX(Activos!$B$3:$C$16, MATCH(C135,Activos!$B$3:$B$16),2),"")</f>
        <v/>
      </c>
      <c r="C135" s="27"/>
      <c r="D135" s="27"/>
      <c r="E135" s="25"/>
      <c r="F135" s="26" t="str">
        <f>IF(E135='Tablas AR'!$B$4,1,IF('Análisis de Riesgos'!E135='Tablas AR'!$B$5,2,IF('Análisis de Riesgos'!E135='Tablas AR'!$B$6,3,"")))</f>
        <v/>
      </c>
      <c r="G135" s="25"/>
      <c r="H135" s="26" t="str">
        <f>IF(G135='Tablas AR'!$B$10,1,IF('Análisis de Riesgos'!G135='Tablas AR'!$B$11,2,IF('Análisis de Riesgos'!G135='Tablas AR'!$B$12,3,"")))</f>
        <v/>
      </c>
      <c r="I135" s="26" t="str">
        <f t="shared" si="2"/>
        <v/>
      </c>
    </row>
    <row r="136" spans="2:9" x14ac:dyDescent="0.3">
      <c r="B136" s="27" t="str">
        <f>IFERROR(INDEX(Activos!$B$3:$C$16, MATCH(C136,Activos!$B$3:$B$16),2),"")</f>
        <v/>
      </c>
      <c r="C136" s="27"/>
      <c r="D136" s="27"/>
      <c r="E136" s="25"/>
      <c r="F136" s="26" t="str">
        <f>IF(E136='Tablas AR'!$B$4,1,IF('Análisis de Riesgos'!E136='Tablas AR'!$B$5,2,IF('Análisis de Riesgos'!E136='Tablas AR'!$B$6,3,"")))</f>
        <v/>
      </c>
      <c r="G136" s="25"/>
      <c r="H136" s="26" t="str">
        <f>IF(G136='Tablas AR'!$B$10,1,IF('Análisis de Riesgos'!G136='Tablas AR'!$B$11,2,IF('Análisis de Riesgos'!G136='Tablas AR'!$B$12,3,"")))</f>
        <v/>
      </c>
      <c r="I136" s="26" t="str">
        <f t="shared" si="2"/>
        <v/>
      </c>
    </row>
    <row r="137" spans="2:9" x14ac:dyDescent="0.3">
      <c r="B137" s="27" t="str">
        <f>IFERROR(INDEX(Activos!$B$3:$C$16, MATCH(C137,Activos!$B$3:$B$16),2),"")</f>
        <v/>
      </c>
      <c r="C137" s="27"/>
      <c r="D137" s="27"/>
      <c r="E137" s="25"/>
      <c r="F137" s="26" t="str">
        <f>IF(E137='Tablas AR'!$B$4,1,IF('Análisis de Riesgos'!E137='Tablas AR'!$B$5,2,IF('Análisis de Riesgos'!E137='Tablas AR'!$B$6,3,"")))</f>
        <v/>
      </c>
      <c r="G137" s="25"/>
      <c r="H137" s="26" t="str">
        <f>IF(G137='Tablas AR'!$B$10,1,IF('Análisis de Riesgos'!G137='Tablas AR'!$B$11,2,IF('Análisis de Riesgos'!G137='Tablas AR'!$B$12,3,"")))</f>
        <v/>
      </c>
      <c r="I137" s="26" t="str">
        <f t="shared" si="2"/>
        <v/>
      </c>
    </row>
    <row r="138" spans="2:9" x14ac:dyDescent="0.3">
      <c r="B138" s="27" t="str">
        <f>IFERROR(INDEX(Activos!$B$3:$C$16, MATCH(C138,Activos!$B$3:$B$16),2),"")</f>
        <v/>
      </c>
      <c r="C138" s="27"/>
      <c r="D138" s="27"/>
      <c r="E138" s="25"/>
      <c r="F138" s="26" t="str">
        <f>IF(E138='Tablas AR'!$B$4,1,IF('Análisis de Riesgos'!E138='Tablas AR'!$B$5,2,IF('Análisis de Riesgos'!E138='Tablas AR'!$B$6,3,"")))</f>
        <v/>
      </c>
      <c r="G138" s="25"/>
      <c r="H138" s="26" t="str">
        <f>IF(G138='Tablas AR'!$B$10,1,IF('Análisis de Riesgos'!G138='Tablas AR'!$B$11,2,IF('Análisis de Riesgos'!G138='Tablas AR'!$B$12,3,"")))</f>
        <v/>
      </c>
      <c r="I138" s="26" t="str">
        <f t="shared" si="2"/>
        <v/>
      </c>
    </row>
    <row r="139" spans="2:9" x14ac:dyDescent="0.3">
      <c r="B139" s="27" t="str">
        <f>IFERROR(INDEX(Activos!$B$3:$C$16, MATCH(C139,Activos!$B$3:$B$16),2),"")</f>
        <v/>
      </c>
      <c r="C139" s="27"/>
      <c r="D139" s="27"/>
      <c r="E139" s="25"/>
      <c r="F139" s="26" t="str">
        <f>IF(E139='Tablas AR'!$B$4,1,IF('Análisis de Riesgos'!E139='Tablas AR'!$B$5,2,IF('Análisis de Riesgos'!E139='Tablas AR'!$B$6,3,"")))</f>
        <v/>
      </c>
      <c r="G139" s="25"/>
      <c r="H139" s="26" t="str">
        <f>IF(G139='Tablas AR'!$B$10,1,IF('Análisis de Riesgos'!G139='Tablas AR'!$B$11,2,IF('Análisis de Riesgos'!G139='Tablas AR'!$B$12,3,"")))</f>
        <v/>
      </c>
      <c r="I139" s="26" t="str">
        <f t="shared" si="2"/>
        <v/>
      </c>
    </row>
    <row r="140" spans="2:9" x14ac:dyDescent="0.3">
      <c r="B140" s="27" t="str">
        <f>IFERROR(INDEX(Activos!$B$3:$C$16, MATCH(C140,Activos!$B$3:$B$16),2),"")</f>
        <v/>
      </c>
      <c r="C140" s="27"/>
      <c r="D140" s="27"/>
      <c r="E140" s="25"/>
      <c r="F140" s="26" t="str">
        <f>IF(E140='Tablas AR'!$B$4,1,IF('Análisis de Riesgos'!E140='Tablas AR'!$B$5,2,IF('Análisis de Riesgos'!E140='Tablas AR'!$B$6,3,"")))</f>
        <v/>
      </c>
      <c r="G140" s="25"/>
      <c r="H140" s="26" t="str">
        <f>IF(G140='Tablas AR'!$B$10,1,IF('Análisis de Riesgos'!G140='Tablas AR'!$B$11,2,IF('Análisis de Riesgos'!G140='Tablas AR'!$B$12,3,"")))</f>
        <v/>
      </c>
      <c r="I140" s="26" t="str">
        <f t="shared" si="2"/>
        <v/>
      </c>
    </row>
    <row r="141" spans="2:9" x14ac:dyDescent="0.3">
      <c r="B141" s="27" t="str">
        <f>IFERROR(INDEX(Activos!$B$3:$C$16, MATCH(C141,Activos!$B$3:$B$16),2),"")</f>
        <v/>
      </c>
      <c r="C141" s="27"/>
      <c r="D141" s="27"/>
      <c r="E141" s="25"/>
      <c r="F141" s="26" t="str">
        <f>IF(E141='Tablas AR'!$B$4,1,IF('Análisis de Riesgos'!E141='Tablas AR'!$B$5,2,IF('Análisis de Riesgos'!E141='Tablas AR'!$B$6,3,"")))</f>
        <v/>
      </c>
      <c r="G141" s="25"/>
      <c r="H141" s="26" t="str">
        <f>IF(G141='Tablas AR'!$B$10,1,IF('Análisis de Riesgos'!G141='Tablas AR'!$B$11,2,IF('Análisis de Riesgos'!G141='Tablas AR'!$B$12,3,"")))</f>
        <v/>
      </c>
      <c r="I141" s="26" t="str">
        <f t="shared" si="2"/>
        <v/>
      </c>
    </row>
    <row r="142" spans="2:9" x14ac:dyDescent="0.3">
      <c r="B142" s="27" t="str">
        <f>IFERROR(INDEX(Activos!$B$3:$C$16, MATCH(C142,Activos!$B$3:$B$16),2),"")</f>
        <v/>
      </c>
      <c r="C142" s="27"/>
      <c r="D142" s="27"/>
      <c r="E142" s="25"/>
      <c r="F142" s="26" t="str">
        <f>IF(E142='Tablas AR'!$B$4,1,IF('Análisis de Riesgos'!E142='Tablas AR'!$B$5,2,IF('Análisis de Riesgos'!E142='Tablas AR'!$B$6,3,"")))</f>
        <v/>
      </c>
      <c r="G142" s="25"/>
      <c r="H142" s="26" t="str">
        <f>IF(G142='Tablas AR'!$B$10,1,IF('Análisis de Riesgos'!G142='Tablas AR'!$B$11,2,IF('Análisis de Riesgos'!G142='Tablas AR'!$B$12,3,"")))</f>
        <v/>
      </c>
      <c r="I142" s="26" t="str">
        <f t="shared" si="2"/>
        <v/>
      </c>
    </row>
    <row r="143" spans="2:9" x14ac:dyDescent="0.3">
      <c r="B143" s="27" t="str">
        <f>IFERROR(INDEX(Activos!$B$3:$C$16, MATCH(C143,Activos!$B$3:$B$16),2),"")</f>
        <v/>
      </c>
      <c r="C143" s="27"/>
      <c r="D143" s="27"/>
      <c r="E143" s="25"/>
      <c r="F143" s="26" t="str">
        <f>IF(E143='Tablas AR'!$B$4,1,IF('Análisis de Riesgos'!E143='Tablas AR'!$B$5,2,IF('Análisis de Riesgos'!E143='Tablas AR'!$B$6,3,"")))</f>
        <v/>
      </c>
      <c r="G143" s="25"/>
      <c r="H143" s="26" t="str">
        <f>IF(G143='Tablas AR'!$B$10,1,IF('Análisis de Riesgos'!G143='Tablas AR'!$B$11,2,IF('Análisis de Riesgos'!G143='Tablas AR'!$B$12,3,"")))</f>
        <v/>
      </c>
      <c r="I143" s="26" t="str">
        <f t="shared" si="2"/>
        <v/>
      </c>
    </row>
    <row r="144" spans="2:9" x14ac:dyDescent="0.3">
      <c r="B144" s="27" t="str">
        <f>IFERROR(INDEX(Activos!$B$3:$C$16, MATCH(C144,Activos!$B$3:$B$16),2),"")</f>
        <v/>
      </c>
      <c r="C144" s="27"/>
      <c r="D144" s="27"/>
      <c r="E144" s="25"/>
      <c r="F144" s="26" t="str">
        <f>IF(E144='Tablas AR'!$B$4,1,IF('Análisis de Riesgos'!E144='Tablas AR'!$B$5,2,IF('Análisis de Riesgos'!E144='Tablas AR'!$B$6,3,"")))</f>
        <v/>
      </c>
      <c r="G144" s="25"/>
      <c r="H144" s="26" t="str">
        <f>IF(G144='Tablas AR'!$B$10,1,IF('Análisis de Riesgos'!G144='Tablas AR'!$B$11,2,IF('Análisis de Riesgos'!G144='Tablas AR'!$B$12,3,"")))</f>
        <v/>
      </c>
      <c r="I144" s="26" t="str">
        <f t="shared" si="2"/>
        <v/>
      </c>
    </row>
    <row r="145" spans="2:9" x14ac:dyDescent="0.3">
      <c r="B145" s="27" t="str">
        <f>IFERROR(INDEX(Activos!$B$3:$C$16, MATCH(C145,Activos!$B$3:$B$16),2),"")</f>
        <v/>
      </c>
      <c r="C145" s="27"/>
      <c r="D145" s="27"/>
      <c r="E145" s="25"/>
      <c r="F145" s="26" t="str">
        <f>IF(E145='Tablas AR'!$B$4,1,IF('Análisis de Riesgos'!E145='Tablas AR'!$B$5,2,IF('Análisis de Riesgos'!E145='Tablas AR'!$B$6,3,"")))</f>
        <v/>
      </c>
      <c r="G145" s="25"/>
      <c r="H145" s="26" t="str">
        <f>IF(G145='Tablas AR'!$B$10,1,IF('Análisis de Riesgos'!G145='Tablas AR'!$B$11,2,IF('Análisis de Riesgos'!G145='Tablas AR'!$B$12,3,"")))</f>
        <v/>
      </c>
      <c r="I145" s="26" t="str">
        <f t="shared" si="2"/>
        <v/>
      </c>
    </row>
    <row r="146" spans="2:9" x14ac:dyDescent="0.3">
      <c r="B146" s="27" t="str">
        <f>IFERROR(INDEX(Activos!$B$3:$C$16, MATCH(C146,Activos!$B$3:$B$16),2),"")</f>
        <v/>
      </c>
      <c r="C146" s="27"/>
      <c r="D146" s="27"/>
      <c r="E146" s="25"/>
      <c r="F146" s="26" t="str">
        <f>IF(E146='Tablas AR'!$B$4,1,IF('Análisis de Riesgos'!E146='Tablas AR'!$B$5,2,IF('Análisis de Riesgos'!E146='Tablas AR'!$B$6,3,"")))</f>
        <v/>
      </c>
      <c r="G146" s="25"/>
      <c r="H146" s="26" t="str">
        <f>IF(G146='Tablas AR'!$B$10,1,IF('Análisis de Riesgos'!G146='Tablas AR'!$B$11,2,IF('Análisis de Riesgos'!G146='Tablas AR'!$B$12,3,"")))</f>
        <v/>
      </c>
      <c r="I146" s="26" t="str">
        <f t="shared" si="2"/>
        <v/>
      </c>
    </row>
    <row r="147" spans="2:9" x14ac:dyDescent="0.3">
      <c r="B147" s="27" t="str">
        <f>IFERROR(INDEX(Activos!$B$3:$C$16, MATCH(C147,Activos!$B$3:$B$16),2),"")</f>
        <v/>
      </c>
      <c r="C147" s="27"/>
      <c r="D147" s="27"/>
      <c r="E147" s="25"/>
      <c r="F147" s="26" t="str">
        <f>IF(E147='Tablas AR'!$B$4,1,IF('Análisis de Riesgos'!E147='Tablas AR'!$B$5,2,IF('Análisis de Riesgos'!E147='Tablas AR'!$B$6,3,"")))</f>
        <v/>
      </c>
      <c r="G147" s="25"/>
      <c r="H147" s="26" t="str">
        <f>IF(G147='Tablas AR'!$B$10,1,IF('Análisis de Riesgos'!G147='Tablas AR'!$B$11,2,IF('Análisis de Riesgos'!G147='Tablas AR'!$B$12,3,"")))</f>
        <v/>
      </c>
      <c r="I147" s="26" t="str">
        <f t="shared" si="2"/>
        <v/>
      </c>
    </row>
    <row r="148" spans="2:9" x14ac:dyDescent="0.3">
      <c r="B148" s="27" t="str">
        <f>IFERROR(INDEX(Activos!$B$3:$C$16, MATCH(C148,Activos!$B$3:$B$16),2),"")</f>
        <v/>
      </c>
      <c r="C148" s="27"/>
      <c r="D148" s="27"/>
      <c r="E148" s="25"/>
      <c r="F148" s="26" t="str">
        <f>IF(E148='Tablas AR'!$B$4,1,IF('Análisis de Riesgos'!E148='Tablas AR'!$B$5,2,IF('Análisis de Riesgos'!E148='Tablas AR'!$B$6,3,"")))</f>
        <v/>
      </c>
      <c r="G148" s="25"/>
      <c r="H148" s="26" t="str">
        <f>IF(G148='Tablas AR'!$B$10,1,IF('Análisis de Riesgos'!G148='Tablas AR'!$B$11,2,IF('Análisis de Riesgos'!G148='Tablas AR'!$B$12,3,"")))</f>
        <v/>
      </c>
      <c r="I148" s="26" t="str">
        <f t="shared" si="2"/>
        <v/>
      </c>
    </row>
    <row r="149" spans="2:9" x14ac:dyDescent="0.3">
      <c r="B149" s="27" t="str">
        <f>IFERROR(INDEX(Activos!$B$3:$C$16, MATCH(C149,Activos!$B$3:$B$16),2),"")</f>
        <v/>
      </c>
      <c r="C149" s="27"/>
      <c r="D149" s="27"/>
      <c r="E149" s="25"/>
      <c r="F149" s="26" t="str">
        <f>IF(E149='Tablas AR'!$B$4,1,IF('Análisis de Riesgos'!E149='Tablas AR'!$B$5,2,IF('Análisis de Riesgos'!E149='Tablas AR'!$B$6,3,"")))</f>
        <v/>
      </c>
      <c r="G149" s="25"/>
      <c r="H149" s="26" t="str">
        <f>IF(G149='Tablas AR'!$B$10,1,IF('Análisis de Riesgos'!G149='Tablas AR'!$B$11,2,IF('Análisis de Riesgos'!G149='Tablas AR'!$B$12,3,"")))</f>
        <v/>
      </c>
      <c r="I149" s="26" t="str">
        <f t="shared" si="2"/>
        <v/>
      </c>
    </row>
    <row r="150" spans="2:9" x14ac:dyDescent="0.3">
      <c r="B150" s="27" t="str">
        <f>IFERROR(INDEX(Activos!$B$3:$C$16, MATCH(C150,Activos!$B$3:$B$16),2),"")</f>
        <v/>
      </c>
      <c r="C150" s="27"/>
      <c r="D150" s="27"/>
      <c r="E150" s="25"/>
      <c r="F150" s="26" t="str">
        <f>IF(E150='Tablas AR'!$B$4,1,IF('Análisis de Riesgos'!E150='Tablas AR'!$B$5,2,IF('Análisis de Riesgos'!E150='Tablas AR'!$B$6,3,"")))</f>
        <v/>
      </c>
      <c r="G150" s="25"/>
      <c r="H150" s="26" t="str">
        <f>IF(G150='Tablas AR'!$B$10,1,IF('Análisis de Riesgos'!G150='Tablas AR'!$B$11,2,IF('Análisis de Riesgos'!G150='Tablas AR'!$B$12,3,"")))</f>
        <v/>
      </c>
      <c r="I150" s="26" t="str">
        <f t="shared" si="2"/>
        <v/>
      </c>
    </row>
    <row r="151" spans="2:9" x14ac:dyDescent="0.3">
      <c r="B151" s="27" t="str">
        <f>IFERROR(INDEX(Activos!$B$3:$C$16, MATCH(C151,Activos!$B$3:$B$16),2),"")</f>
        <v/>
      </c>
      <c r="C151" s="27"/>
      <c r="D151" s="27"/>
      <c r="E151" s="25"/>
      <c r="F151" s="26" t="str">
        <f>IF(E151='Tablas AR'!$B$4,1,IF('Análisis de Riesgos'!E151='Tablas AR'!$B$5,2,IF('Análisis de Riesgos'!E151='Tablas AR'!$B$6,3,"")))</f>
        <v/>
      </c>
      <c r="G151" s="25"/>
      <c r="H151" s="26" t="str">
        <f>IF(G151='Tablas AR'!$B$10,1,IF('Análisis de Riesgos'!G151='Tablas AR'!$B$11,2,IF('Análisis de Riesgos'!G151='Tablas AR'!$B$12,3,"")))</f>
        <v/>
      </c>
      <c r="I151" s="26" t="str">
        <f t="shared" si="2"/>
        <v/>
      </c>
    </row>
    <row r="152" spans="2:9" x14ac:dyDescent="0.3">
      <c r="B152" s="27" t="str">
        <f>IFERROR(INDEX(Activos!$B$3:$C$16, MATCH(C152,Activos!$B$3:$B$16),2),"")</f>
        <v/>
      </c>
      <c r="C152" s="27"/>
      <c r="D152" s="27"/>
      <c r="E152" s="25"/>
      <c r="F152" s="26" t="str">
        <f>IF(E152='Tablas AR'!$B$4,1,IF('Análisis de Riesgos'!E152='Tablas AR'!$B$5,2,IF('Análisis de Riesgos'!E152='Tablas AR'!$B$6,3,"")))</f>
        <v/>
      </c>
      <c r="G152" s="25"/>
      <c r="H152" s="26" t="str">
        <f>IF(G152='Tablas AR'!$B$10,1,IF('Análisis de Riesgos'!G152='Tablas AR'!$B$11,2,IF('Análisis de Riesgos'!G152='Tablas AR'!$B$12,3,"")))</f>
        <v/>
      </c>
      <c r="I152" s="26" t="str">
        <f t="shared" si="2"/>
        <v/>
      </c>
    </row>
    <row r="153" spans="2:9" x14ac:dyDescent="0.3">
      <c r="B153" s="27" t="str">
        <f>IFERROR(INDEX(Activos!$B$3:$C$16, MATCH(C153,Activos!$B$3:$B$16),2),"")</f>
        <v/>
      </c>
      <c r="C153" s="27"/>
      <c r="D153" s="27"/>
      <c r="E153" s="25"/>
      <c r="F153" s="26" t="str">
        <f>IF(E153='Tablas AR'!$B$4,1,IF('Análisis de Riesgos'!E153='Tablas AR'!$B$5,2,IF('Análisis de Riesgos'!E153='Tablas AR'!$B$6,3,"")))</f>
        <v/>
      </c>
      <c r="G153" s="25"/>
      <c r="H153" s="26" t="str">
        <f>IF(G153='Tablas AR'!$B$10,1,IF('Análisis de Riesgos'!G153='Tablas AR'!$B$11,2,IF('Análisis de Riesgos'!G153='Tablas AR'!$B$12,3,"")))</f>
        <v/>
      </c>
      <c r="I153" s="26" t="str">
        <f t="shared" si="2"/>
        <v/>
      </c>
    </row>
    <row r="154" spans="2:9" x14ac:dyDescent="0.3">
      <c r="B154" s="27" t="str">
        <f>IFERROR(INDEX(Activos!$B$3:$C$16, MATCH(C154,Activos!$B$3:$B$16),2),"")</f>
        <v/>
      </c>
      <c r="C154" s="27"/>
      <c r="D154" s="27"/>
      <c r="E154" s="25"/>
      <c r="F154" s="26" t="str">
        <f>IF(E154='Tablas AR'!$B$4,1,IF('Análisis de Riesgos'!E154='Tablas AR'!$B$5,2,IF('Análisis de Riesgos'!E154='Tablas AR'!$B$6,3,"")))</f>
        <v/>
      </c>
      <c r="G154" s="25"/>
      <c r="H154" s="26" t="str">
        <f>IF(G154='Tablas AR'!$B$10,1,IF('Análisis de Riesgos'!G154='Tablas AR'!$B$11,2,IF('Análisis de Riesgos'!G154='Tablas AR'!$B$12,3,"")))</f>
        <v/>
      </c>
      <c r="I154" s="26" t="str">
        <f t="shared" si="2"/>
        <v/>
      </c>
    </row>
    <row r="155" spans="2:9" x14ac:dyDescent="0.3">
      <c r="B155" s="27" t="str">
        <f>IFERROR(INDEX(Activos!$B$3:$C$16, MATCH(C155,Activos!$B$3:$B$16),2),"")</f>
        <v/>
      </c>
      <c r="C155" s="27"/>
      <c r="D155" s="27"/>
      <c r="E155" s="25"/>
      <c r="F155" s="26" t="str">
        <f>IF(E155='Tablas AR'!$B$4,1,IF('Análisis de Riesgos'!E155='Tablas AR'!$B$5,2,IF('Análisis de Riesgos'!E155='Tablas AR'!$B$6,3,"")))</f>
        <v/>
      </c>
      <c r="G155" s="25"/>
      <c r="H155" s="26" t="str">
        <f>IF(G155='Tablas AR'!$B$10,1,IF('Análisis de Riesgos'!G155='Tablas AR'!$B$11,2,IF('Análisis de Riesgos'!G155='Tablas AR'!$B$12,3,"")))</f>
        <v/>
      </c>
      <c r="I155" s="26" t="str">
        <f t="shared" si="2"/>
        <v/>
      </c>
    </row>
    <row r="156" spans="2:9" x14ac:dyDescent="0.3">
      <c r="B156" s="27" t="str">
        <f>IFERROR(INDEX(Activos!$B$3:$C$16, MATCH(C156,Activos!$B$3:$B$16),2),"")</f>
        <v/>
      </c>
      <c r="C156" s="27"/>
      <c r="D156" s="27"/>
      <c r="E156" s="25"/>
      <c r="F156" s="26" t="str">
        <f>IF(E156='Tablas AR'!$B$4,1,IF('Análisis de Riesgos'!E156='Tablas AR'!$B$5,2,IF('Análisis de Riesgos'!E156='Tablas AR'!$B$6,3,"")))</f>
        <v/>
      </c>
      <c r="G156" s="25"/>
      <c r="H156" s="26" t="str">
        <f>IF(G156='Tablas AR'!$B$10,1,IF('Análisis de Riesgos'!G156='Tablas AR'!$B$11,2,IF('Análisis de Riesgos'!G156='Tablas AR'!$B$12,3,"")))</f>
        <v/>
      </c>
      <c r="I156" s="26" t="str">
        <f t="shared" si="2"/>
        <v/>
      </c>
    </row>
    <row r="157" spans="2:9" x14ac:dyDescent="0.3">
      <c r="B157" s="27" t="str">
        <f>IFERROR(INDEX(Activos!$B$3:$C$16, MATCH(C157,Activos!$B$3:$B$16),2),"")</f>
        <v/>
      </c>
      <c r="C157" s="27"/>
      <c r="D157" s="27"/>
      <c r="E157" s="25"/>
      <c r="F157" s="26" t="str">
        <f>IF(E157='Tablas AR'!$B$4,1,IF('Análisis de Riesgos'!E157='Tablas AR'!$B$5,2,IF('Análisis de Riesgos'!E157='Tablas AR'!$B$6,3,"")))</f>
        <v/>
      </c>
      <c r="G157" s="25"/>
      <c r="H157" s="26" t="str">
        <f>IF(G157='Tablas AR'!$B$10,1,IF('Análisis de Riesgos'!G157='Tablas AR'!$B$11,2,IF('Análisis de Riesgos'!G157='Tablas AR'!$B$12,3,"")))</f>
        <v/>
      </c>
      <c r="I157" s="26" t="str">
        <f t="shared" si="2"/>
        <v/>
      </c>
    </row>
    <row r="158" spans="2:9" x14ac:dyDescent="0.3">
      <c r="B158" s="27" t="str">
        <f>IFERROR(INDEX(Activos!$B$3:$C$16, MATCH(C158,Activos!$B$3:$B$16),2),"")</f>
        <v/>
      </c>
      <c r="C158" s="27"/>
      <c r="D158" s="27"/>
      <c r="E158" s="25"/>
      <c r="F158" s="26" t="str">
        <f>IF(E158='Tablas AR'!$B$4,1,IF('Análisis de Riesgos'!E158='Tablas AR'!$B$5,2,IF('Análisis de Riesgos'!E158='Tablas AR'!$B$6,3,"")))</f>
        <v/>
      </c>
      <c r="G158" s="25"/>
      <c r="H158" s="26" t="str">
        <f>IF(G158='Tablas AR'!$B$10,1,IF('Análisis de Riesgos'!G158='Tablas AR'!$B$11,2,IF('Análisis de Riesgos'!G158='Tablas AR'!$B$12,3,"")))</f>
        <v/>
      </c>
      <c r="I158" s="26" t="str">
        <f t="shared" si="2"/>
        <v/>
      </c>
    </row>
    <row r="159" spans="2:9" x14ac:dyDescent="0.3">
      <c r="B159" s="27" t="str">
        <f>IFERROR(INDEX(Activos!$B$3:$C$16, MATCH(C159,Activos!$B$3:$B$16),2),"")</f>
        <v/>
      </c>
      <c r="C159" s="27"/>
      <c r="D159" s="27"/>
      <c r="E159" s="25"/>
      <c r="F159" s="26" t="str">
        <f>IF(E159='Tablas AR'!$B$4,1,IF('Análisis de Riesgos'!E159='Tablas AR'!$B$5,2,IF('Análisis de Riesgos'!E159='Tablas AR'!$B$6,3,"")))</f>
        <v/>
      </c>
      <c r="G159" s="25"/>
      <c r="H159" s="26" t="str">
        <f>IF(G159='Tablas AR'!$B$10,1,IF('Análisis de Riesgos'!G159='Tablas AR'!$B$11,2,IF('Análisis de Riesgos'!G159='Tablas AR'!$B$12,3,"")))</f>
        <v/>
      </c>
      <c r="I159" s="26" t="str">
        <f t="shared" si="2"/>
        <v/>
      </c>
    </row>
    <row r="160" spans="2:9" x14ac:dyDescent="0.3">
      <c r="B160" s="27" t="str">
        <f>IFERROR(INDEX(Activos!$B$3:$C$16, MATCH(C160,Activos!$B$3:$B$16),2),"")</f>
        <v/>
      </c>
      <c r="C160" s="27"/>
      <c r="D160" s="27"/>
      <c r="E160" s="25"/>
      <c r="F160" s="26" t="str">
        <f>IF(E160='Tablas AR'!$B$4,1,IF('Análisis de Riesgos'!E160='Tablas AR'!$B$5,2,IF('Análisis de Riesgos'!E160='Tablas AR'!$B$6,3,"")))</f>
        <v/>
      </c>
      <c r="G160" s="25"/>
      <c r="H160" s="26" t="str">
        <f>IF(G160='Tablas AR'!$B$10,1,IF('Análisis de Riesgos'!G160='Tablas AR'!$B$11,2,IF('Análisis de Riesgos'!G160='Tablas AR'!$B$12,3,"")))</f>
        <v/>
      </c>
      <c r="I160" s="26" t="str">
        <f t="shared" si="2"/>
        <v/>
      </c>
    </row>
    <row r="161" spans="2:9" x14ac:dyDescent="0.3">
      <c r="B161" s="27" t="str">
        <f>IFERROR(INDEX(Activos!$B$3:$C$16, MATCH(C161,Activos!$B$3:$B$16),2),"")</f>
        <v/>
      </c>
      <c r="C161" s="27"/>
      <c r="D161" s="27"/>
      <c r="E161" s="25"/>
      <c r="F161" s="26" t="str">
        <f>IF(E161='Tablas AR'!$B$4,1,IF('Análisis de Riesgos'!E161='Tablas AR'!$B$5,2,IF('Análisis de Riesgos'!E161='Tablas AR'!$B$6,3,"")))</f>
        <v/>
      </c>
      <c r="G161" s="25"/>
      <c r="H161" s="26" t="str">
        <f>IF(G161='Tablas AR'!$B$10,1,IF('Análisis de Riesgos'!G161='Tablas AR'!$B$11,2,IF('Análisis de Riesgos'!G161='Tablas AR'!$B$12,3,"")))</f>
        <v/>
      </c>
      <c r="I161" s="26" t="str">
        <f t="shared" si="2"/>
        <v/>
      </c>
    </row>
    <row r="162" spans="2:9" x14ac:dyDescent="0.3">
      <c r="B162" s="27" t="str">
        <f>IFERROR(INDEX(Activos!$B$3:$C$16, MATCH(C162,Activos!$B$3:$B$16),2),"")</f>
        <v/>
      </c>
      <c r="C162" s="27"/>
      <c r="D162" s="27"/>
      <c r="E162" s="25"/>
      <c r="F162" s="26" t="str">
        <f>IF(E162='Tablas AR'!$B$4,1,IF('Análisis de Riesgos'!E162='Tablas AR'!$B$5,2,IF('Análisis de Riesgos'!E162='Tablas AR'!$B$6,3,"")))</f>
        <v/>
      </c>
      <c r="G162" s="25"/>
      <c r="H162" s="26" t="str">
        <f>IF(G162='Tablas AR'!$B$10,1,IF('Análisis de Riesgos'!G162='Tablas AR'!$B$11,2,IF('Análisis de Riesgos'!G162='Tablas AR'!$B$12,3,"")))</f>
        <v/>
      </c>
      <c r="I162" s="26" t="str">
        <f t="shared" si="2"/>
        <v/>
      </c>
    </row>
    <row r="163" spans="2:9" x14ac:dyDescent="0.3">
      <c r="B163" s="27" t="str">
        <f>IFERROR(INDEX(Activos!$B$3:$C$16, MATCH(C163,Activos!$B$3:$B$16),2),"")</f>
        <v/>
      </c>
      <c r="C163" s="27"/>
      <c r="D163" s="27"/>
      <c r="E163" s="25"/>
      <c r="F163" s="26" t="str">
        <f>IF(E163='Tablas AR'!$B$4,1,IF('Análisis de Riesgos'!E163='Tablas AR'!$B$5,2,IF('Análisis de Riesgos'!E163='Tablas AR'!$B$6,3,"")))</f>
        <v/>
      </c>
      <c r="G163" s="25"/>
      <c r="H163" s="26" t="str">
        <f>IF(G163='Tablas AR'!$B$10,1,IF('Análisis de Riesgos'!G163='Tablas AR'!$B$11,2,IF('Análisis de Riesgos'!G163='Tablas AR'!$B$12,3,"")))</f>
        <v/>
      </c>
      <c r="I163" s="26" t="str">
        <f t="shared" si="2"/>
        <v/>
      </c>
    </row>
    <row r="164" spans="2:9" x14ac:dyDescent="0.3">
      <c r="B164" s="27" t="str">
        <f>IFERROR(INDEX(Activos!$B$3:$C$16, MATCH(C164,Activos!$B$3:$B$16),2),"")</f>
        <v/>
      </c>
      <c r="C164" s="27"/>
      <c r="D164" s="27"/>
      <c r="E164" s="25"/>
      <c r="F164" s="26" t="str">
        <f>IF(E164='Tablas AR'!$B$4,1,IF('Análisis de Riesgos'!E164='Tablas AR'!$B$5,2,IF('Análisis de Riesgos'!E164='Tablas AR'!$B$6,3,"")))</f>
        <v/>
      </c>
      <c r="G164" s="25"/>
      <c r="H164" s="26" t="str">
        <f>IF(G164='Tablas AR'!$B$10,1,IF('Análisis de Riesgos'!G164='Tablas AR'!$B$11,2,IF('Análisis de Riesgos'!G164='Tablas AR'!$B$12,3,"")))</f>
        <v/>
      </c>
      <c r="I164" s="26" t="str">
        <f t="shared" si="2"/>
        <v/>
      </c>
    </row>
    <row r="165" spans="2:9" x14ac:dyDescent="0.3">
      <c r="B165" s="27" t="str">
        <f>IFERROR(INDEX(Activos!$B$3:$C$16, MATCH(C165,Activos!$B$3:$B$16),2),"")</f>
        <v/>
      </c>
      <c r="C165" s="27"/>
      <c r="D165" s="27"/>
      <c r="E165" s="25"/>
      <c r="F165" s="26" t="str">
        <f>IF(E165='Tablas AR'!$B$4,1,IF('Análisis de Riesgos'!E165='Tablas AR'!$B$5,2,IF('Análisis de Riesgos'!E165='Tablas AR'!$B$6,3,"")))</f>
        <v/>
      </c>
      <c r="G165" s="25"/>
      <c r="H165" s="26" t="str">
        <f>IF(G165='Tablas AR'!$B$10,1,IF('Análisis de Riesgos'!G165='Tablas AR'!$B$11,2,IF('Análisis de Riesgos'!G165='Tablas AR'!$B$12,3,"")))</f>
        <v/>
      </c>
      <c r="I165" s="26" t="str">
        <f t="shared" si="2"/>
        <v/>
      </c>
    </row>
    <row r="166" spans="2:9" x14ac:dyDescent="0.3">
      <c r="B166" s="27" t="str">
        <f>IFERROR(INDEX(Activos!$B$3:$C$16, MATCH(C166,Activos!$B$3:$B$16),2),"")</f>
        <v/>
      </c>
      <c r="C166" s="27"/>
      <c r="D166" s="27"/>
      <c r="E166" s="25"/>
      <c r="F166" s="26" t="str">
        <f>IF(E166='Tablas AR'!$B$4,1,IF('Análisis de Riesgos'!E166='Tablas AR'!$B$5,2,IF('Análisis de Riesgos'!E166='Tablas AR'!$B$6,3,"")))</f>
        <v/>
      </c>
      <c r="G166" s="25"/>
      <c r="H166" s="26" t="str">
        <f>IF(G166='Tablas AR'!$B$10,1,IF('Análisis de Riesgos'!G166='Tablas AR'!$B$11,2,IF('Análisis de Riesgos'!G166='Tablas AR'!$B$12,3,"")))</f>
        <v/>
      </c>
      <c r="I166" s="26" t="str">
        <f t="shared" si="2"/>
        <v/>
      </c>
    </row>
    <row r="167" spans="2:9" x14ac:dyDescent="0.3">
      <c r="B167" s="27" t="str">
        <f>IFERROR(INDEX(Activos!$B$3:$C$16, MATCH(C167,Activos!$B$3:$B$16),2),"")</f>
        <v/>
      </c>
      <c r="C167" s="27"/>
      <c r="D167" s="27"/>
      <c r="E167" s="25"/>
      <c r="F167" s="26" t="str">
        <f>IF(E167='Tablas AR'!$B$4,1,IF('Análisis de Riesgos'!E167='Tablas AR'!$B$5,2,IF('Análisis de Riesgos'!E167='Tablas AR'!$B$6,3,"")))</f>
        <v/>
      </c>
      <c r="G167" s="25"/>
      <c r="H167" s="26" t="str">
        <f>IF(G167='Tablas AR'!$B$10,1,IF('Análisis de Riesgos'!G167='Tablas AR'!$B$11,2,IF('Análisis de Riesgos'!G167='Tablas AR'!$B$12,3,"")))</f>
        <v/>
      </c>
      <c r="I167" s="26" t="str">
        <f t="shared" si="2"/>
        <v/>
      </c>
    </row>
    <row r="168" spans="2:9" x14ac:dyDescent="0.3">
      <c r="B168" s="27" t="str">
        <f>IFERROR(INDEX(Activos!$B$3:$C$16, MATCH(C168,Activos!$B$3:$B$16),2),"")</f>
        <v/>
      </c>
      <c r="C168" s="27"/>
      <c r="D168" s="27"/>
      <c r="E168" s="25"/>
      <c r="F168" s="26" t="str">
        <f>IF(E168='Tablas AR'!$B$4,1,IF('Análisis de Riesgos'!E168='Tablas AR'!$B$5,2,IF('Análisis de Riesgos'!E168='Tablas AR'!$B$6,3,"")))</f>
        <v/>
      </c>
      <c r="G168" s="25"/>
      <c r="H168" s="26" t="str">
        <f>IF(G168='Tablas AR'!$B$10,1,IF('Análisis de Riesgos'!G168='Tablas AR'!$B$11,2,IF('Análisis de Riesgos'!G168='Tablas AR'!$B$12,3,"")))</f>
        <v/>
      </c>
      <c r="I168" s="26" t="str">
        <f t="shared" si="2"/>
        <v/>
      </c>
    </row>
    <row r="169" spans="2:9" x14ac:dyDescent="0.3">
      <c r="B169" s="27" t="str">
        <f>IFERROR(INDEX(Activos!$B$3:$C$16, MATCH(C169,Activos!$B$3:$B$16),2),"")</f>
        <v/>
      </c>
      <c r="C169" s="27"/>
      <c r="D169" s="27"/>
      <c r="E169" s="25"/>
      <c r="F169" s="26" t="str">
        <f>IF(E169='Tablas AR'!$B$4,1,IF('Análisis de Riesgos'!E169='Tablas AR'!$B$5,2,IF('Análisis de Riesgos'!E169='Tablas AR'!$B$6,3,"")))</f>
        <v/>
      </c>
      <c r="G169" s="25"/>
      <c r="H169" s="26" t="str">
        <f>IF(G169='Tablas AR'!$B$10,1,IF('Análisis de Riesgos'!G169='Tablas AR'!$B$11,2,IF('Análisis de Riesgos'!G169='Tablas AR'!$B$12,3,"")))</f>
        <v/>
      </c>
      <c r="I169" s="26" t="str">
        <f t="shared" si="2"/>
        <v/>
      </c>
    </row>
    <row r="170" spans="2:9" x14ac:dyDescent="0.3">
      <c r="B170" s="27" t="str">
        <f>IFERROR(INDEX(Activos!$B$3:$C$16, MATCH(C170,Activos!$B$3:$B$16),2),"")</f>
        <v/>
      </c>
      <c r="C170" s="27"/>
      <c r="D170" s="27"/>
      <c r="E170" s="25"/>
      <c r="F170" s="26" t="str">
        <f>IF(E170='Tablas AR'!$B$4,1,IF('Análisis de Riesgos'!E170='Tablas AR'!$B$5,2,IF('Análisis de Riesgos'!E170='Tablas AR'!$B$6,3,"")))</f>
        <v/>
      </c>
      <c r="G170" s="25"/>
      <c r="H170" s="26" t="str">
        <f>IF(G170='Tablas AR'!$B$10,1,IF('Análisis de Riesgos'!G170='Tablas AR'!$B$11,2,IF('Análisis de Riesgos'!G170='Tablas AR'!$B$12,3,"")))</f>
        <v/>
      </c>
      <c r="I170" s="26" t="str">
        <f t="shared" si="2"/>
        <v/>
      </c>
    </row>
    <row r="171" spans="2:9" x14ac:dyDescent="0.3">
      <c r="B171" s="27" t="str">
        <f>IFERROR(INDEX(Activos!$B$3:$C$16, MATCH(C171,Activos!$B$3:$B$16),2),"")</f>
        <v/>
      </c>
      <c r="C171" s="27"/>
      <c r="D171" s="27"/>
      <c r="E171" s="25"/>
      <c r="F171" s="26" t="str">
        <f>IF(E171='Tablas AR'!$B$4,1,IF('Análisis de Riesgos'!E171='Tablas AR'!$B$5,2,IF('Análisis de Riesgos'!E171='Tablas AR'!$B$6,3,"")))</f>
        <v/>
      </c>
      <c r="G171" s="25"/>
      <c r="H171" s="26" t="str">
        <f>IF(G171='Tablas AR'!$B$10,1,IF('Análisis de Riesgos'!G171='Tablas AR'!$B$11,2,IF('Análisis de Riesgos'!G171='Tablas AR'!$B$12,3,"")))</f>
        <v/>
      </c>
      <c r="I171" s="26" t="str">
        <f t="shared" si="2"/>
        <v/>
      </c>
    </row>
    <row r="172" spans="2:9" x14ac:dyDescent="0.3">
      <c r="B172" s="27" t="str">
        <f>IFERROR(INDEX(Activos!$B$3:$C$16, MATCH(C172,Activos!$B$3:$B$16),2),"")</f>
        <v/>
      </c>
      <c r="C172" s="27"/>
      <c r="D172" s="27"/>
      <c r="E172" s="25"/>
      <c r="F172" s="26" t="str">
        <f>IF(E172='Tablas AR'!$B$4,1,IF('Análisis de Riesgos'!E172='Tablas AR'!$B$5,2,IF('Análisis de Riesgos'!E172='Tablas AR'!$B$6,3,"")))</f>
        <v/>
      </c>
      <c r="G172" s="25"/>
      <c r="H172" s="26" t="str">
        <f>IF(G172='Tablas AR'!$B$10,1,IF('Análisis de Riesgos'!G172='Tablas AR'!$B$11,2,IF('Análisis de Riesgos'!G172='Tablas AR'!$B$12,3,"")))</f>
        <v/>
      </c>
      <c r="I172" s="26" t="str">
        <f t="shared" si="2"/>
        <v/>
      </c>
    </row>
    <row r="173" spans="2:9" x14ac:dyDescent="0.3">
      <c r="B173" s="27" t="str">
        <f>IFERROR(INDEX(Activos!$B$3:$C$16, MATCH(C173,Activos!$B$3:$B$16),2),"")</f>
        <v/>
      </c>
      <c r="C173" s="27"/>
      <c r="D173" s="27"/>
      <c r="E173" s="25"/>
      <c r="F173" s="26" t="str">
        <f>IF(E173='Tablas AR'!$B$4,1,IF('Análisis de Riesgos'!E173='Tablas AR'!$B$5,2,IF('Análisis de Riesgos'!E173='Tablas AR'!$B$6,3,"")))</f>
        <v/>
      </c>
      <c r="G173" s="25"/>
      <c r="H173" s="26" t="str">
        <f>IF(G173='Tablas AR'!$B$10,1,IF('Análisis de Riesgos'!G173='Tablas AR'!$B$11,2,IF('Análisis de Riesgos'!G173='Tablas AR'!$B$12,3,"")))</f>
        <v/>
      </c>
      <c r="I173" s="26" t="str">
        <f t="shared" si="2"/>
        <v/>
      </c>
    </row>
    <row r="174" spans="2:9" x14ac:dyDescent="0.3">
      <c r="B174" s="27" t="str">
        <f>IFERROR(INDEX(Activos!$B$3:$C$16, MATCH(C174,Activos!$B$3:$B$16),2),"")</f>
        <v/>
      </c>
      <c r="C174" s="27"/>
      <c r="D174" s="27"/>
      <c r="E174" s="25"/>
      <c r="F174" s="26" t="str">
        <f>IF(E174='Tablas AR'!$B$4,1,IF('Análisis de Riesgos'!E174='Tablas AR'!$B$5,2,IF('Análisis de Riesgos'!E174='Tablas AR'!$B$6,3,"")))</f>
        <v/>
      </c>
      <c r="G174" s="25"/>
      <c r="H174" s="26" t="str">
        <f>IF(G174='Tablas AR'!$B$10,1,IF('Análisis de Riesgos'!G174='Tablas AR'!$B$11,2,IF('Análisis de Riesgos'!G174='Tablas AR'!$B$12,3,"")))</f>
        <v/>
      </c>
      <c r="I174" s="26" t="str">
        <f t="shared" si="2"/>
        <v/>
      </c>
    </row>
    <row r="175" spans="2:9" x14ac:dyDescent="0.3">
      <c r="B175" s="27" t="str">
        <f>IFERROR(INDEX(Activos!$B$3:$C$16, MATCH(C175,Activos!$B$3:$B$16),2),"")</f>
        <v/>
      </c>
      <c r="C175" s="27"/>
      <c r="D175" s="27"/>
      <c r="E175" s="25"/>
      <c r="F175" s="26" t="str">
        <f>IF(E175='Tablas AR'!$B$4,1,IF('Análisis de Riesgos'!E175='Tablas AR'!$B$5,2,IF('Análisis de Riesgos'!E175='Tablas AR'!$B$6,3,"")))</f>
        <v/>
      </c>
      <c r="G175" s="25"/>
      <c r="H175" s="26" t="str">
        <f>IF(G175='Tablas AR'!$B$10,1,IF('Análisis de Riesgos'!G175='Tablas AR'!$B$11,2,IF('Análisis de Riesgos'!G175='Tablas AR'!$B$12,3,"")))</f>
        <v/>
      </c>
      <c r="I175" s="26" t="str">
        <f t="shared" si="2"/>
        <v/>
      </c>
    </row>
    <row r="176" spans="2:9" x14ac:dyDescent="0.3">
      <c r="B176" s="27" t="str">
        <f>IFERROR(INDEX(Activos!$B$3:$C$16, MATCH(C176,Activos!$B$3:$B$16),2),"")</f>
        <v/>
      </c>
      <c r="C176" s="27"/>
      <c r="D176" s="27"/>
      <c r="E176" s="25"/>
      <c r="F176" s="26" t="str">
        <f>IF(E176='Tablas AR'!$B$4,1,IF('Análisis de Riesgos'!E176='Tablas AR'!$B$5,2,IF('Análisis de Riesgos'!E176='Tablas AR'!$B$6,3,"")))</f>
        <v/>
      </c>
      <c r="G176" s="25"/>
      <c r="H176" s="26" t="str">
        <f>IF(G176='Tablas AR'!$B$10,1,IF('Análisis de Riesgos'!G176='Tablas AR'!$B$11,2,IF('Análisis de Riesgos'!G176='Tablas AR'!$B$12,3,"")))</f>
        <v/>
      </c>
      <c r="I176" s="26" t="str">
        <f t="shared" si="2"/>
        <v/>
      </c>
    </row>
    <row r="177" spans="2:9" x14ac:dyDescent="0.3">
      <c r="B177" s="27" t="str">
        <f>IFERROR(INDEX(Activos!$B$3:$C$16, MATCH(C177,Activos!$B$3:$B$16),2),"")</f>
        <v/>
      </c>
      <c r="C177" s="27"/>
      <c r="D177" s="27"/>
      <c r="E177" s="25"/>
      <c r="F177" s="26" t="str">
        <f>IF(E177='Tablas AR'!$B$4,1,IF('Análisis de Riesgos'!E177='Tablas AR'!$B$5,2,IF('Análisis de Riesgos'!E177='Tablas AR'!$B$6,3,"")))</f>
        <v/>
      </c>
      <c r="G177" s="25"/>
      <c r="H177" s="26" t="str">
        <f>IF(G177='Tablas AR'!$B$10,1,IF('Análisis de Riesgos'!G177='Tablas AR'!$B$11,2,IF('Análisis de Riesgos'!G177='Tablas AR'!$B$12,3,"")))</f>
        <v/>
      </c>
      <c r="I177" s="26" t="str">
        <f t="shared" si="2"/>
        <v/>
      </c>
    </row>
    <row r="178" spans="2:9" x14ac:dyDescent="0.3">
      <c r="B178" s="27" t="str">
        <f>IFERROR(INDEX(Activos!$B$3:$C$16, MATCH(C178,Activos!$B$3:$B$16),2),"")</f>
        <v/>
      </c>
      <c r="C178" s="27"/>
      <c r="D178" s="27"/>
      <c r="E178" s="25"/>
      <c r="F178" s="26" t="str">
        <f>IF(E178='Tablas AR'!$B$4,1,IF('Análisis de Riesgos'!E178='Tablas AR'!$B$5,2,IF('Análisis de Riesgos'!E178='Tablas AR'!$B$6,3,"")))</f>
        <v/>
      </c>
      <c r="G178" s="25"/>
      <c r="H178" s="26" t="str">
        <f>IF(G178='Tablas AR'!$B$10,1,IF('Análisis de Riesgos'!G178='Tablas AR'!$B$11,2,IF('Análisis de Riesgos'!G178='Tablas AR'!$B$12,3,"")))</f>
        <v/>
      </c>
      <c r="I178" s="26" t="str">
        <f t="shared" si="2"/>
        <v/>
      </c>
    </row>
    <row r="179" spans="2:9" x14ac:dyDescent="0.3">
      <c r="B179" s="27" t="str">
        <f>IFERROR(INDEX(Activos!$B$3:$C$16, MATCH(C179,Activos!$B$3:$B$16),2),"")</f>
        <v/>
      </c>
      <c r="C179" s="27"/>
      <c r="D179" s="27"/>
      <c r="E179" s="25"/>
      <c r="F179" s="26" t="str">
        <f>IF(E179='Tablas AR'!$B$4,1,IF('Análisis de Riesgos'!E179='Tablas AR'!$B$5,2,IF('Análisis de Riesgos'!E179='Tablas AR'!$B$6,3,"")))</f>
        <v/>
      </c>
      <c r="G179" s="25"/>
      <c r="H179" s="26" t="str">
        <f>IF(G179='Tablas AR'!$B$10,1,IF('Análisis de Riesgos'!G179='Tablas AR'!$B$11,2,IF('Análisis de Riesgos'!G179='Tablas AR'!$B$12,3,"")))</f>
        <v/>
      </c>
      <c r="I179" s="26" t="str">
        <f t="shared" si="2"/>
        <v/>
      </c>
    </row>
    <row r="180" spans="2:9" x14ac:dyDescent="0.3">
      <c r="B180" s="27" t="str">
        <f>IFERROR(INDEX(Activos!$B$3:$C$16, MATCH(C180,Activos!$B$3:$B$16),2),"")</f>
        <v/>
      </c>
      <c r="C180" s="27"/>
      <c r="D180" s="27"/>
      <c r="E180" s="25"/>
      <c r="F180" s="26" t="str">
        <f>IF(E180='Tablas AR'!$B$4,1,IF('Análisis de Riesgos'!E180='Tablas AR'!$B$5,2,IF('Análisis de Riesgos'!E180='Tablas AR'!$B$6,3,"")))</f>
        <v/>
      </c>
      <c r="G180" s="25"/>
      <c r="H180" s="26" t="str">
        <f>IF(G180='Tablas AR'!$B$10,1,IF('Análisis de Riesgos'!G180='Tablas AR'!$B$11,2,IF('Análisis de Riesgos'!G180='Tablas AR'!$B$12,3,"")))</f>
        <v/>
      </c>
      <c r="I180" s="26" t="str">
        <f t="shared" si="2"/>
        <v/>
      </c>
    </row>
    <row r="181" spans="2:9" x14ac:dyDescent="0.3">
      <c r="B181" s="27" t="str">
        <f>IFERROR(INDEX(Activos!$B$3:$C$16, MATCH(C181,Activos!$B$3:$B$16),2),"")</f>
        <v/>
      </c>
      <c r="C181" s="27"/>
      <c r="D181" s="27"/>
      <c r="E181" s="25"/>
      <c r="F181" s="26" t="str">
        <f>IF(E181='Tablas AR'!$B$4,1,IF('Análisis de Riesgos'!E181='Tablas AR'!$B$5,2,IF('Análisis de Riesgos'!E181='Tablas AR'!$B$6,3,"")))</f>
        <v/>
      </c>
      <c r="G181" s="25"/>
      <c r="H181" s="26" t="str">
        <f>IF(G181='Tablas AR'!$B$10,1,IF('Análisis de Riesgos'!G181='Tablas AR'!$B$11,2,IF('Análisis de Riesgos'!G181='Tablas AR'!$B$12,3,"")))</f>
        <v/>
      </c>
      <c r="I181" s="26" t="str">
        <f t="shared" si="2"/>
        <v/>
      </c>
    </row>
    <row r="182" spans="2:9" x14ac:dyDescent="0.3">
      <c r="B182" s="27" t="str">
        <f>IFERROR(INDEX(Activos!$B$3:$C$16, MATCH(C182,Activos!$B$3:$B$16),2),"")</f>
        <v/>
      </c>
      <c r="C182" s="27"/>
      <c r="D182" s="27"/>
      <c r="E182" s="25"/>
      <c r="F182" s="26" t="str">
        <f>IF(E182='Tablas AR'!$B$4,1,IF('Análisis de Riesgos'!E182='Tablas AR'!$B$5,2,IF('Análisis de Riesgos'!E182='Tablas AR'!$B$6,3,"")))</f>
        <v/>
      </c>
      <c r="G182" s="25"/>
      <c r="H182" s="26" t="str">
        <f>IF(G182='Tablas AR'!$B$10,1,IF('Análisis de Riesgos'!G182='Tablas AR'!$B$11,2,IF('Análisis de Riesgos'!G182='Tablas AR'!$B$12,3,"")))</f>
        <v/>
      </c>
      <c r="I182" s="26" t="str">
        <f t="shared" si="2"/>
        <v/>
      </c>
    </row>
    <row r="183" spans="2:9" x14ac:dyDescent="0.3">
      <c r="B183" s="27" t="str">
        <f>IFERROR(INDEX(Activos!$B$3:$C$16, MATCH(C183,Activos!$B$3:$B$16),2),"")</f>
        <v/>
      </c>
      <c r="C183" s="27"/>
      <c r="D183" s="27"/>
      <c r="E183" s="25"/>
      <c r="F183" s="26" t="str">
        <f>IF(E183='Tablas AR'!$B$4,1,IF('Análisis de Riesgos'!E183='Tablas AR'!$B$5,2,IF('Análisis de Riesgos'!E183='Tablas AR'!$B$6,3,"")))</f>
        <v/>
      </c>
      <c r="G183" s="25"/>
      <c r="H183" s="26" t="str">
        <f>IF(G183='Tablas AR'!$B$10,1,IF('Análisis de Riesgos'!G183='Tablas AR'!$B$11,2,IF('Análisis de Riesgos'!G183='Tablas AR'!$B$12,3,"")))</f>
        <v/>
      </c>
      <c r="I183" s="26" t="str">
        <f t="shared" si="2"/>
        <v/>
      </c>
    </row>
    <row r="184" spans="2:9" x14ac:dyDescent="0.3">
      <c r="B184" s="27" t="str">
        <f>IFERROR(INDEX(Activos!$B$3:$C$16, MATCH(C184,Activos!$B$3:$B$16),2),"")</f>
        <v/>
      </c>
      <c r="C184" s="27"/>
      <c r="D184" s="27"/>
      <c r="E184" s="25"/>
      <c r="F184" s="26" t="str">
        <f>IF(E184='Tablas AR'!$B$4,1,IF('Análisis de Riesgos'!E184='Tablas AR'!$B$5,2,IF('Análisis de Riesgos'!E184='Tablas AR'!$B$6,3,"")))</f>
        <v/>
      </c>
      <c r="G184" s="25"/>
      <c r="H184" s="26" t="str">
        <f>IF(G184='Tablas AR'!$B$10,1,IF('Análisis de Riesgos'!G184='Tablas AR'!$B$11,2,IF('Análisis de Riesgos'!G184='Tablas AR'!$B$12,3,"")))</f>
        <v/>
      </c>
      <c r="I184" s="26" t="str">
        <f t="shared" si="2"/>
        <v/>
      </c>
    </row>
    <row r="185" spans="2:9" x14ac:dyDescent="0.3">
      <c r="B185" s="27" t="str">
        <f>IFERROR(INDEX(Activos!$B$3:$C$16, MATCH(C185,Activos!$B$3:$B$16),2),"")</f>
        <v/>
      </c>
      <c r="C185" s="27"/>
      <c r="D185" s="27"/>
      <c r="E185" s="25"/>
      <c r="F185" s="26" t="str">
        <f>IF(E185='Tablas AR'!$B$4,1,IF('Análisis de Riesgos'!E185='Tablas AR'!$B$5,2,IF('Análisis de Riesgos'!E185='Tablas AR'!$B$6,3,"")))</f>
        <v/>
      </c>
      <c r="G185" s="25"/>
      <c r="H185" s="26" t="str">
        <f>IF(G185='Tablas AR'!$B$10,1,IF('Análisis de Riesgos'!G185='Tablas AR'!$B$11,2,IF('Análisis de Riesgos'!G185='Tablas AR'!$B$12,3,"")))</f>
        <v/>
      </c>
      <c r="I185" s="26" t="str">
        <f t="shared" si="2"/>
        <v/>
      </c>
    </row>
    <row r="186" spans="2:9" x14ac:dyDescent="0.3">
      <c r="B186" s="27" t="str">
        <f>IFERROR(INDEX(Activos!$B$3:$C$16, MATCH(C186,Activos!$B$3:$B$16),2),"")</f>
        <v/>
      </c>
      <c r="C186" s="27"/>
      <c r="D186" s="27"/>
      <c r="E186" s="25"/>
      <c r="F186" s="26" t="str">
        <f>IF(E186='Tablas AR'!$B$4,1,IF('Análisis de Riesgos'!E186='Tablas AR'!$B$5,2,IF('Análisis de Riesgos'!E186='Tablas AR'!$B$6,3,"")))</f>
        <v/>
      </c>
      <c r="G186" s="25"/>
      <c r="H186" s="26" t="str">
        <f>IF(G186='Tablas AR'!$B$10,1,IF('Análisis de Riesgos'!G186='Tablas AR'!$B$11,2,IF('Análisis de Riesgos'!G186='Tablas AR'!$B$12,3,"")))</f>
        <v/>
      </c>
      <c r="I186" s="26" t="str">
        <f t="shared" si="2"/>
        <v/>
      </c>
    </row>
    <row r="187" spans="2:9" x14ac:dyDescent="0.3">
      <c r="B187" s="27" t="str">
        <f>IFERROR(INDEX(Activos!$B$3:$C$16, MATCH(C187,Activos!$B$3:$B$16),2),"")</f>
        <v/>
      </c>
      <c r="C187" s="27"/>
      <c r="D187" s="27"/>
      <c r="E187" s="25"/>
      <c r="F187" s="26" t="str">
        <f>IF(E187='Tablas AR'!$B$4,1,IF('Análisis de Riesgos'!E187='Tablas AR'!$B$5,2,IF('Análisis de Riesgos'!E187='Tablas AR'!$B$6,3,"")))</f>
        <v/>
      </c>
      <c r="G187" s="25"/>
      <c r="H187" s="26" t="str">
        <f>IF(G187='Tablas AR'!$B$10,1,IF('Análisis de Riesgos'!G187='Tablas AR'!$B$11,2,IF('Análisis de Riesgos'!G187='Tablas AR'!$B$12,3,"")))</f>
        <v/>
      </c>
      <c r="I187" s="26" t="str">
        <f t="shared" si="2"/>
        <v/>
      </c>
    </row>
    <row r="188" spans="2:9" x14ac:dyDescent="0.3">
      <c r="B188" s="27" t="str">
        <f>IFERROR(INDEX(Activos!$B$3:$C$16, MATCH(C188,Activos!$B$3:$B$16),2),"")</f>
        <v/>
      </c>
      <c r="C188" s="27"/>
      <c r="D188" s="27"/>
      <c r="E188" s="25"/>
      <c r="F188" s="26" t="str">
        <f>IF(E188='Tablas AR'!$B$4,1,IF('Análisis de Riesgos'!E188='Tablas AR'!$B$5,2,IF('Análisis de Riesgos'!E188='Tablas AR'!$B$6,3,"")))</f>
        <v/>
      </c>
      <c r="G188" s="25"/>
      <c r="H188" s="26" t="str">
        <f>IF(G188='Tablas AR'!$B$10,1,IF('Análisis de Riesgos'!G188='Tablas AR'!$B$11,2,IF('Análisis de Riesgos'!G188='Tablas AR'!$B$12,3,"")))</f>
        <v/>
      </c>
      <c r="I188" s="26" t="str">
        <f t="shared" si="2"/>
        <v/>
      </c>
    </row>
    <row r="189" spans="2:9" x14ac:dyDescent="0.3">
      <c r="B189" s="27" t="str">
        <f>IFERROR(INDEX(Activos!$B$3:$C$16, MATCH(C189,Activos!$B$3:$B$16),2),"")</f>
        <v/>
      </c>
      <c r="C189" s="27"/>
      <c r="D189" s="27"/>
      <c r="E189" s="25"/>
      <c r="F189" s="26" t="str">
        <f>IF(E189='Tablas AR'!$B$4,1,IF('Análisis de Riesgos'!E189='Tablas AR'!$B$5,2,IF('Análisis de Riesgos'!E189='Tablas AR'!$B$6,3,"")))</f>
        <v/>
      </c>
      <c r="G189" s="25"/>
      <c r="H189" s="26" t="str">
        <f>IF(G189='Tablas AR'!$B$10,1,IF('Análisis de Riesgos'!G189='Tablas AR'!$B$11,2,IF('Análisis de Riesgos'!G189='Tablas AR'!$B$12,3,"")))</f>
        <v/>
      </c>
      <c r="I189" s="26" t="str">
        <f t="shared" si="2"/>
        <v/>
      </c>
    </row>
    <row r="190" spans="2:9" x14ac:dyDescent="0.3">
      <c r="B190" s="27" t="str">
        <f>IFERROR(INDEX(Activos!$B$3:$C$16, MATCH(C190,Activos!$B$3:$B$16),2),"")</f>
        <v/>
      </c>
      <c r="C190" s="27"/>
      <c r="D190" s="27"/>
      <c r="E190" s="25"/>
      <c r="F190" s="26" t="str">
        <f>IF(E190='Tablas AR'!$B$4,1,IF('Análisis de Riesgos'!E190='Tablas AR'!$B$5,2,IF('Análisis de Riesgos'!E190='Tablas AR'!$B$6,3,"")))</f>
        <v/>
      </c>
      <c r="G190" s="25"/>
      <c r="H190" s="26" t="str">
        <f>IF(G190='Tablas AR'!$B$10,1,IF('Análisis de Riesgos'!G190='Tablas AR'!$B$11,2,IF('Análisis de Riesgos'!G190='Tablas AR'!$B$12,3,"")))</f>
        <v/>
      </c>
      <c r="I190" s="26" t="str">
        <f t="shared" si="2"/>
        <v/>
      </c>
    </row>
    <row r="191" spans="2:9" x14ac:dyDescent="0.3">
      <c r="B191" s="27" t="str">
        <f>IFERROR(INDEX(Activos!$B$3:$C$16, MATCH(C191,Activos!$B$3:$B$16),2),"")</f>
        <v/>
      </c>
      <c r="C191" s="27"/>
      <c r="D191" s="27"/>
      <c r="E191" s="25"/>
      <c r="F191" s="26" t="str">
        <f>IF(E191='Tablas AR'!$B$4,1,IF('Análisis de Riesgos'!E191='Tablas AR'!$B$5,2,IF('Análisis de Riesgos'!E191='Tablas AR'!$B$6,3,"")))</f>
        <v/>
      </c>
      <c r="G191" s="25"/>
      <c r="H191" s="26" t="str">
        <f>IF(G191='Tablas AR'!$B$10,1,IF('Análisis de Riesgos'!G191='Tablas AR'!$B$11,2,IF('Análisis de Riesgos'!G191='Tablas AR'!$B$12,3,"")))</f>
        <v/>
      </c>
      <c r="I191" s="26" t="str">
        <f t="shared" si="2"/>
        <v/>
      </c>
    </row>
    <row r="192" spans="2:9" x14ac:dyDescent="0.3">
      <c r="B192" s="27" t="str">
        <f>IFERROR(INDEX(Activos!$B$3:$C$16, MATCH(C192,Activos!$B$3:$B$16),2),"")</f>
        <v/>
      </c>
      <c r="C192" s="27"/>
      <c r="D192" s="27"/>
      <c r="E192" s="25"/>
      <c r="F192" s="26" t="str">
        <f>IF(E192='Tablas AR'!$B$4,1,IF('Análisis de Riesgos'!E192='Tablas AR'!$B$5,2,IF('Análisis de Riesgos'!E192='Tablas AR'!$B$6,3,"")))</f>
        <v/>
      </c>
      <c r="G192" s="25"/>
      <c r="H192" s="26" t="str">
        <f>IF(G192='Tablas AR'!$B$10,1,IF('Análisis de Riesgos'!G192='Tablas AR'!$B$11,2,IF('Análisis de Riesgos'!G192='Tablas AR'!$B$12,3,"")))</f>
        <v/>
      </c>
      <c r="I192" s="26" t="str">
        <f t="shared" si="2"/>
        <v/>
      </c>
    </row>
    <row r="193" spans="2:9" x14ac:dyDescent="0.3">
      <c r="B193" s="27" t="str">
        <f>IFERROR(INDEX(Activos!$B$3:$C$16, MATCH(C193,Activos!$B$3:$B$16),2),"")</f>
        <v/>
      </c>
      <c r="C193" s="27"/>
      <c r="D193" s="27"/>
      <c r="E193" s="25"/>
      <c r="F193" s="26" t="str">
        <f>IF(E193='Tablas AR'!$B$4,1,IF('Análisis de Riesgos'!E193='Tablas AR'!$B$5,2,IF('Análisis de Riesgos'!E193='Tablas AR'!$B$6,3,"")))</f>
        <v/>
      </c>
      <c r="G193" s="25"/>
      <c r="H193" s="26" t="str">
        <f>IF(G193='Tablas AR'!$B$10,1,IF('Análisis de Riesgos'!G193='Tablas AR'!$B$11,2,IF('Análisis de Riesgos'!G193='Tablas AR'!$B$12,3,"")))</f>
        <v/>
      </c>
      <c r="I193" s="26" t="str">
        <f t="shared" si="2"/>
        <v/>
      </c>
    </row>
    <row r="194" spans="2:9" x14ac:dyDescent="0.3">
      <c r="B194" s="27" t="str">
        <f>IFERROR(INDEX(Activos!$B$3:$C$16, MATCH(C194,Activos!$B$3:$B$16),2),"")</f>
        <v/>
      </c>
      <c r="C194" s="27"/>
      <c r="D194" s="27"/>
      <c r="E194" s="25"/>
      <c r="F194" s="26" t="str">
        <f>IF(E194='Tablas AR'!$B$4,1,IF('Análisis de Riesgos'!E194='Tablas AR'!$B$5,2,IF('Análisis de Riesgos'!E194='Tablas AR'!$B$6,3,"")))</f>
        <v/>
      </c>
      <c r="G194" s="25"/>
      <c r="H194" s="26" t="str">
        <f>IF(G194='Tablas AR'!$B$10,1,IF('Análisis de Riesgos'!G194='Tablas AR'!$B$11,2,IF('Análisis de Riesgos'!G194='Tablas AR'!$B$12,3,"")))</f>
        <v/>
      </c>
      <c r="I194" s="26" t="str">
        <f t="shared" si="2"/>
        <v/>
      </c>
    </row>
    <row r="195" spans="2:9" x14ac:dyDescent="0.3">
      <c r="B195" s="27" t="str">
        <f>IFERROR(INDEX(Activos!$B$3:$C$16, MATCH(C195,Activos!$B$3:$B$16),2),"")</f>
        <v/>
      </c>
      <c r="C195" s="27"/>
      <c r="D195" s="27"/>
      <c r="E195" s="25"/>
      <c r="F195" s="26" t="str">
        <f>IF(E195='Tablas AR'!$B$4,1,IF('Análisis de Riesgos'!E195='Tablas AR'!$B$5,2,IF('Análisis de Riesgos'!E195='Tablas AR'!$B$6,3,"")))</f>
        <v/>
      </c>
      <c r="G195" s="25"/>
      <c r="H195" s="26" t="str">
        <f>IF(G195='Tablas AR'!$B$10,1,IF('Análisis de Riesgos'!G195='Tablas AR'!$B$11,2,IF('Análisis de Riesgos'!G195='Tablas AR'!$B$12,3,"")))</f>
        <v/>
      </c>
      <c r="I195" s="26" t="str">
        <f t="shared" si="2"/>
        <v/>
      </c>
    </row>
    <row r="196" spans="2:9" x14ac:dyDescent="0.3">
      <c r="B196" s="27" t="str">
        <f>IFERROR(INDEX(Activos!$B$3:$C$16, MATCH(C196,Activos!$B$3:$B$16),2),"")</f>
        <v/>
      </c>
      <c r="C196" s="27"/>
      <c r="D196" s="27"/>
      <c r="E196" s="25"/>
      <c r="F196" s="26" t="str">
        <f>IF(E196='Tablas AR'!$B$4,1,IF('Análisis de Riesgos'!E196='Tablas AR'!$B$5,2,IF('Análisis de Riesgos'!E196='Tablas AR'!$B$6,3,"")))</f>
        <v/>
      </c>
      <c r="G196" s="25"/>
      <c r="H196" s="26" t="str">
        <f>IF(G196='Tablas AR'!$B$10,1,IF('Análisis de Riesgos'!G196='Tablas AR'!$B$11,2,IF('Análisis de Riesgos'!G196='Tablas AR'!$B$12,3,"")))</f>
        <v/>
      </c>
      <c r="I196" s="26" t="str">
        <f t="shared" ref="I196:I259" si="3" xml:space="preserve"> IFERROR(F196*H196,"")</f>
        <v/>
      </c>
    </row>
    <row r="197" spans="2:9" x14ac:dyDescent="0.3">
      <c r="B197" s="27" t="str">
        <f>IFERROR(INDEX(Activos!$B$3:$C$16, MATCH(C197,Activos!$B$3:$B$16),2),"")</f>
        <v/>
      </c>
      <c r="C197" s="27"/>
      <c r="D197" s="27"/>
      <c r="E197" s="25"/>
      <c r="F197" s="26" t="str">
        <f>IF(E197='Tablas AR'!$B$4,1,IF('Análisis de Riesgos'!E197='Tablas AR'!$B$5,2,IF('Análisis de Riesgos'!E197='Tablas AR'!$B$6,3,"")))</f>
        <v/>
      </c>
      <c r="G197" s="25"/>
      <c r="H197" s="26" t="str">
        <f>IF(G197='Tablas AR'!$B$10,1,IF('Análisis de Riesgos'!G197='Tablas AR'!$B$11,2,IF('Análisis de Riesgos'!G197='Tablas AR'!$B$12,3,"")))</f>
        <v/>
      </c>
      <c r="I197" s="26" t="str">
        <f t="shared" si="3"/>
        <v/>
      </c>
    </row>
    <row r="198" spans="2:9" x14ac:dyDescent="0.3">
      <c r="B198" s="27" t="str">
        <f>IFERROR(INDEX(Activos!$B$3:$C$16, MATCH(C198,Activos!$B$3:$B$16),2),"")</f>
        <v/>
      </c>
      <c r="C198" s="27"/>
      <c r="D198" s="27"/>
      <c r="E198" s="25"/>
      <c r="F198" s="26" t="str">
        <f>IF(E198='Tablas AR'!$B$4,1,IF('Análisis de Riesgos'!E198='Tablas AR'!$B$5,2,IF('Análisis de Riesgos'!E198='Tablas AR'!$B$6,3,"")))</f>
        <v/>
      </c>
      <c r="G198" s="25"/>
      <c r="H198" s="26" t="str">
        <f>IF(G198='Tablas AR'!$B$10,1,IF('Análisis de Riesgos'!G198='Tablas AR'!$B$11,2,IF('Análisis de Riesgos'!G198='Tablas AR'!$B$12,3,"")))</f>
        <v/>
      </c>
      <c r="I198" s="26" t="str">
        <f t="shared" si="3"/>
        <v/>
      </c>
    </row>
    <row r="199" spans="2:9" x14ac:dyDescent="0.3">
      <c r="B199" s="27" t="str">
        <f>IFERROR(INDEX(Activos!$B$3:$C$16, MATCH(C199,Activos!$B$3:$B$16),2),"")</f>
        <v/>
      </c>
      <c r="C199" s="27"/>
      <c r="D199" s="27"/>
      <c r="E199" s="25"/>
      <c r="F199" s="26" t="str">
        <f>IF(E199='Tablas AR'!$B$4,1,IF('Análisis de Riesgos'!E199='Tablas AR'!$B$5,2,IF('Análisis de Riesgos'!E199='Tablas AR'!$B$6,3,"")))</f>
        <v/>
      </c>
      <c r="G199" s="25"/>
      <c r="H199" s="26" t="str">
        <f>IF(G199='Tablas AR'!$B$10,1,IF('Análisis de Riesgos'!G199='Tablas AR'!$B$11,2,IF('Análisis de Riesgos'!G199='Tablas AR'!$B$12,3,"")))</f>
        <v/>
      </c>
      <c r="I199" s="26" t="str">
        <f t="shared" si="3"/>
        <v/>
      </c>
    </row>
    <row r="200" spans="2:9" x14ac:dyDescent="0.3">
      <c r="B200" s="27" t="str">
        <f>IFERROR(INDEX(Activos!$B$3:$C$16, MATCH(C200,Activos!$B$3:$B$16),2),"")</f>
        <v/>
      </c>
      <c r="C200" s="27"/>
      <c r="D200" s="27"/>
      <c r="E200" s="25"/>
      <c r="F200" s="26" t="str">
        <f>IF(E200='Tablas AR'!$B$4,1,IF('Análisis de Riesgos'!E200='Tablas AR'!$B$5,2,IF('Análisis de Riesgos'!E200='Tablas AR'!$B$6,3,"")))</f>
        <v/>
      </c>
      <c r="G200" s="25"/>
      <c r="H200" s="26" t="str">
        <f>IF(G200='Tablas AR'!$B$10,1,IF('Análisis de Riesgos'!G200='Tablas AR'!$B$11,2,IF('Análisis de Riesgos'!G200='Tablas AR'!$B$12,3,"")))</f>
        <v/>
      </c>
      <c r="I200" s="26" t="str">
        <f t="shared" si="3"/>
        <v/>
      </c>
    </row>
    <row r="201" spans="2:9" x14ac:dyDescent="0.3">
      <c r="B201" s="27" t="str">
        <f>IFERROR(INDEX(Activos!$B$3:$C$16, MATCH(C201,Activos!$B$3:$B$16),2),"")</f>
        <v/>
      </c>
      <c r="C201" s="27"/>
      <c r="D201" s="27"/>
      <c r="E201" s="25"/>
      <c r="F201" s="26" t="str">
        <f>IF(E201='Tablas AR'!$B$4,1,IF('Análisis de Riesgos'!E201='Tablas AR'!$B$5,2,IF('Análisis de Riesgos'!E201='Tablas AR'!$B$6,3,"")))</f>
        <v/>
      </c>
      <c r="G201" s="25"/>
      <c r="H201" s="26" t="str">
        <f>IF(G201='Tablas AR'!$B$10,1,IF('Análisis de Riesgos'!G201='Tablas AR'!$B$11,2,IF('Análisis de Riesgos'!G201='Tablas AR'!$B$12,3,"")))</f>
        <v/>
      </c>
      <c r="I201" s="26" t="str">
        <f t="shared" si="3"/>
        <v/>
      </c>
    </row>
    <row r="202" spans="2:9" x14ac:dyDescent="0.3">
      <c r="B202" s="27" t="str">
        <f>IFERROR(INDEX(Activos!$B$3:$C$16, MATCH(C202,Activos!$B$3:$B$16),2),"")</f>
        <v/>
      </c>
      <c r="C202" s="27"/>
      <c r="D202" s="27"/>
      <c r="E202" s="25"/>
      <c r="F202" s="26" t="str">
        <f>IF(E202='Tablas AR'!$B$4,1,IF('Análisis de Riesgos'!E202='Tablas AR'!$B$5,2,IF('Análisis de Riesgos'!E202='Tablas AR'!$B$6,3,"")))</f>
        <v/>
      </c>
      <c r="G202" s="25"/>
      <c r="H202" s="26" t="str">
        <f>IF(G202='Tablas AR'!$B$10,1,IF('Análisis de Riesgos'!G202='Tablas AR'!$B$11,2,IF('Análisis de Riesgos'!G202='Tablas AR'!$B$12,3,"")))</f>
        <v/>
      </c>
      <c r="I202" s="26" t="str">
        <f t="shared" si="3"/>
        <v/>
      </c>
    </row>
    <row r="203" spans="2:9" x14ac:dyDescent="0.3">
      <c r="B203" s="27" t="str">
        <f>IFERROR(INDEX(Activos!$B$3:$C$16, MATCH(C203,Activos!$B$3:$B$16),2),"")</f>
        <v/>
      </c>
      <c r="C203" s="27"/>
      <c r="D203" s="27"/>
      <c r="E203" s="25"/>
      <c r="F203" s="26" t="str">
        <f>IF(E203='Tablas AR'!$B$4,1,IF('Análisis de Riesgos'!E203='Tablas AR'!$B$5,2,IF('Análisis de Riesgos'!E203='Tablas AR'!$B$6,3,"")))</f>
        <v/>
      </c>
      <c r="G203" s="25"/>
      <c r="H203" s="26" t="str">
        <f>IF(G203='Tablas AR'!$B$10,1,IF('Análisis de Riesgos'!G203='Tablas AR'!$B$11,2,IF('Análisis de Riesgos'!G203='Tablas AR'!$B$12,3,"")))</f>
        <v/>
      </c>
      <c r="I203" s="26" t="str">
        <f t="shared" si="3"/>
        <v/>
      </c>
    </row>
    <row r="204" spans="2:9" x14ac:dyDescent="0.3">
      <c r="B204" s="27" t="str">
        <f>IFERROR(INDEX(Activos!$B$3:$C$16, MATCH(C204,Activos!$B$3:$B$16),2),"")</f>
        <v/>
      </c>
      <c r="C204" s="27"/>
      <c r="D204" s="27"/>
      <c r="E204" s="25"/>
      <c r="F204" s="26" t="str">
        <f>IF(E204='Tablas AR'!$B$4,1,IF('Análisis de Riesgos'!E204='Tablas AR'!$B$5,2,IF('Análisis de Riesgos'!E204='Tablas AR'!$B$6,3,"")))</f>
        <v/>
      </c>
      <c r="G204" s="25"/>
      <c r="H204" s="26" t="str">
        <f>IF(G204='Tablas AR'!$B$10,1,IF('Análisis de Riesgos'!G204='Tablas AR'!$B$11,2,IF('Análisis de Riesgos'!G204='Tablas AR'!$B$12,3,"")))</f>
        <v/>
      </c>
      <c r="I204" s="26" t="str">
        <f t="shared" si="3"/>
        <v/>
      </c>
    </row>
    <row r="205" spans="2:9" x14ac:dyDescent="0.3">
      <c r="B205" s="27" t="str">
        <f>IFERROR(INDEX(Activos!$B$3:$C$16, MATCH(C205,Activos!$B$3:$B$16),2),"")</f>
        <v/>
      </c>
      <c r="C205" s="27"/>
      <c r="D205" s="27"/>
      <c r="E205" s="25"/>
      <c r="F205" s="26" t="str">
        <f>IF(E205='Tablas AR'!$B$4,1,IF('Análisis de Riesgos'!E205='Tablas AR'!$B$5,2,IF('Análisis de Riesgos'!E205='Tablas AR'!$B$6,3,"")))</f>
        <v/>
      </c>
      <c r="G205" s="25"/>
      <c r="H205" s="26" t="str">
        <f>IF(G205='Tablas AR'!$B$10,1,IF('Análisis de Riesgos'!G205='Tablas AR'!$B$11,2,IF('Análisis de Riesgos'!G205='Tablas AR'!$B$12,3,"")))</f>
        <v/>
      </c>
      <c r="I205" s="26" t="str">
        <f t="shared" si="3"/>
        <v/>
      </c>
    </row>
    <row r="206" spans="2:9" x14ac:dyDescent="0.3">
      <c r="B206" s="27" t="str">
        <f>IFERROR(INDEX(Activos!$B$3:$C$16, MATCH(C206,Activos!$B$3:$B$16),2),"")</f>
        <v/>
      </c>
      <c r="C206" s="27"/>
      <c r="D206" s="27"/>
      <c r="E206" s="25"/>
      <c r="F206" s="26" t="str">
        <f>IF(E206='Tablas AR'!$B$4,1,IF('Análisis de Riesgos'!E206='Tablas AR'!$B$5,2,IF('Análisis de Riesgos'!E206='Tablas AR'!$B$6,3,"")))</f>
        <v/>
      </c>
      <c r="G206" s="25"/>
      <c r="H206" s="26" t="str">
        <f>IF(G206='Tablas AR'!$B$10,1,IF('Análisis de Riesgos'!G206='Tablas AR'!$B$11,2,IF('Análisis de Riesgos'!G206='Tablas AR'!$B$12,3,"")))</f>
        <v/>
      </c>
      <c r="I206" s="26" t="str">
        <f t="shared" si="3"/>
        <v/>
      </c>
    </row>
    <row r="207" spans="2:9" x14ac:dyDescent="0.3">
      <c r="B207" s="27" t="str">
        <f>IFERROR(INDEX(Activos!$B$3:$C$16, MATCH(C207,Activos!$B$3:$B$16),2),"")</f>
        <v/>
      </c>
      <c r="C207" s="27"/>
      <c r="D207" s="27"/>
      <c r="E207" s="25"/>
      <c r="F207" s="26" t="str">
        <f>IF(E207='Tablas AR'!$B$4,1,IF('Análisis de Riesgos'!E207='Tablas AR'!$B$5,2,IF('Análisis de Riesgos'!E207='Tablas AR'!$B$6,3,"")))</f>
        <v/>
      </c>
      <c r="G207" s="25"/>
      <c r="H207" s="26" t="str">
        <f>IF(G207='Tablas AR'!$B$10,1,IF('Análisis de Riesgos'!G207='Tablas AR'!$B$11,2,IF('Análisis de Riesgos'!G207='Tablas AR'!$B$12,3,"")))</f>
        <v/>
      </c>
      <c r="I207" s="26" t="str">
        <f t="shared" si="3"/>
        <v/>
      </c>
    </row>
    <row r="208" spans="2:9" x14ac:dyDescent="0.3">
      <c r="B208" s="27" t="str">
        <f>IFERROR(INDEX(Activos!$B$3:$C$16, MATCH(C208,Activos!$B$3:$B$16),2),"")</f>
        <v/>
      </c>
      <c r="C208" s="27"/>
      <c r="D208" s="27"/>
      <c r="E208" s="25"/>
      <c r="F208" s="26" t="str">
        <f>IF(E208='Tablas AR'!$B$4,1,IF('Análisis de Riesgos'!E208='Tablas AR'!$B$5,2,IF('Análisis de Riesgos'!E208='Tablas AR'!$B$6,3,"")))</f>
        <v/>
      </c>
      <c r="G208" s="25"/>
      <c r="H208" s="26" t="str">
        <f>IF(G208='Tablas AR'!$B$10,1,IF('Análisis de Riesgos'!G208='Tablas AR'!$B$11,2,IF('Análisis de Riesgos'!G208='Tablas AR'!$B$12,3,"")))</f>
        <v/>
      </c>
      <c r="I208" s="26" t="str">
        <f t="shared" si="3"/>
        <v/>
      </c>
    </row>
    <row r="209" spans="2:9" x14ac:dyDescent="0.3">
      <c r="B209" s="27" t="str">
        <f>IFERROR(INDEX(Activos!$B$3:$C$16, MATCH(C209,Activos!$B$3:$B$16),2),"")</f>
        <v/>
      </c>
      <c r="C209" s="27"/>
      <c r="D209" s="27"/>
      <c r="E209" s="25"/>
      <c r="F209" s="26" t="str">
        <f>IF(E209='Tablas AR'!$B$4,1,IF('Análisis de Riesgos'!E209='Tablas AR'!$B$5,2,IF('Análisis de Riesgos'!E209='Tablas AR'!$B$6,3,"")))</f>
        <v/>
      </c>
      <c r="G209" s="25"/>
      <c r="H209" s="26" t="str">
        <f>IF(G209='Tablas AR'!$B$10,1,IF('Análisis de Riesgos'!G209='Tablas AR'!$B$11,2,IF('Análisis de Riesgos'!G209='Tablas AR'!$B$12,3,"")))</f>
        <v/>
      </c>
      <c r="I209" s="26" t="str">
        <f t="shared" si="3"/>
        <v/>
      </c>
    </row>
    <row r="210" spans="2:9" x14ac:dyDescent="0.3">
      <c r="B210" s="27" t="str">
        <f>IFERROR(INDEX(Activos!$B$3:$C$16, MATCH(C210,Activos!$B$3:$B$16),2),"")</f>
        <v/>
      </c>
      <c r="C210" s="27"/>
      <c r="D210" s="27"/>
      <c r="E210" s="25"/>
      <c r="F210" s="26" t="str">
        <f>IF(E210='Tablas AR'!$B$4,1,IF('Análisis de Riesgos'!E210='Tablas AR'!$B$5,2,IF('Análisis de Riesgos'!E210='Tablas AR'!$B$6,3,"")))</f>
        <v/>
      </c>
      <c r="G210" s="25"/>
      <c r="H210" s="26" t="str">
        <f>IF(G210='Tablas AR'!$B$10,1,IF('Análisis de Riesgos'!G210='Tablas AR'!$B$11,2,IF('Análisis de Riesgos'!G210='Tablas AR'!$B$12,3,"")))</f>
        <v/>
      </c>
      <c r="I210" s="26" t="str">
        <f t="shared" si="3"/>
        <v/>
      </c>
    </row>
    <row r="211" spans="2:9" x14ac:dyDescent="0.3">
      <c r="B211" s="27" t="str">
        <f>IFERROR(INDEX(Activos!$B$3:$C$16, MATCH(C211,Activos!$B$3:$B$16),2),"")</f>
        <v/>
      </c>
      <c r="C211" s="27"/>
      <c r="D211" s="27"/>
      <c r="E211" s="25"/>
      <c r="F211" s="26" t="str">
        <f>IF(E211='Tablas AR'!$B$4,1,IF('Análisis de Riesgos'!E211='Tablas AR'!$B$5,2,IF('Análisis de Riesgos'!E211='Tablas AR'!$B$6,3,"")))</f>
        <v/>
      </c>
      <c r="G211" s="25"/>
      <c r="H211" s="26" t="str">
        <f>IF(G211='Tablas AR'!$B$10,1,IF('Análisis de Riesgos'!G211='Tablas AR'!$B$11,2,IF('Análisis de Riesgos'!G211='Tablas AR'!$B$12,3,"")))</f>
        <v/>
      </c>
      <c r="I211" s="26" t="str">
        <f t="shared" si="3"/>
        <v/>
      </c>
    </row>
    <row r="212" spans="2:9" x14ac:dyDescent="0.3">
      <c r="B212" s="27" t="str">
        <f>IFERROR(INDEX(Activos!$B$3:$C$16, MATCH(C212,Activos!$B$3:$B$16),2),"")</f>
        <v/>
      </c>
      <c r="C212" s="27"/>
      <c r="D212" s="27"/>
      <c r="E212" s="25"/>
      <c r="F212" s="26" t="str">
        <f>IF(E212='Tablas AR'!$B$4,1,IF('Análisis de Riesgos'!E212='Tablas AR'!$B$5,2,IF('Análisis de Riesgos'!E212='Tablas AR'!$B$6,3,"")))</f>
        <v/>
      </c>
      <c r="G212" s="25"/>
      <c r="H212" s="26" t="str">
        <f>IF(G212='Tablas AR'!$B$10,1,IF('Análisis de Riesgos'!G212='Tablas AR'!$B$11,2,IF('Análisis de Riesgos'!G212='Tablas AR'!$B$12,3,"")))</f>
        <v/>
      </c>
      <c r="I212" s="26" t="str">
        <f t="shared" si="3"/>
        <v/>
      </c>
    </row>
    <row r="213" spans="2:9" x14ac:dyDescent="0.3">
      <c r="B213" s="27" t="str">
        <f>IFERROR(INDEX(Activos!$B$3:$C$16, MATCH(C213,Activos!$B$3:$B$16),2),"")</f>
        <v/>
      </c>
      <c r="C213" s="27"/>
      <c r="D213" s="27"/>
      <c r="E213" s="25"/>
      <c r="F213" s="26" t="str">
        <f>IF(E213='Tablas AR'!$B$4,1,IF('Análisis de Riesgos'!E213='Tablas AR'!$B$5,2,IF('Análisis de Riesgos'!E213='Tablas AR'!$B$6,3,"")))</f>
        <v/>
      </c>
      <c r="G213" s="25"/>
      <c r="H213" s="26" t="str">
        <f>IF(G213='Tablas AR'!$B$10,1,IF('Análisis de Riesgos'!G213='Tablas AR'!$B$11,2,IF('Análisis de Riesgos'!G213='Tablas AR'!$B$12,3,"")))</f>
        <v/>
      </c>
      <c r="I213" s="26" t="str">
        <f t="shared" si="3"/>
        <v/>
      </c>
    </row>
    <row r="214" spans="2:9" x14ac:dyDescent="0.3">
      <c r="B214" s="27" t="str">
        <f>IFERROR(INDEX(Activos!$B$3:$C$16, MATCH(C214,Activos!$B$3:$B$16),2),"")</f>
        <v/>
      </c>
      <c r="C214" s="27"/>
      <c r="D214" s="27"/>
      <c r="E214" s="25"/>
      <c r="F214" s="26" t="str">
        <f>IF(E214='Tablas AR'!$B$4,1,IF('Análisis de Riesgos'!E214='Tablas AR'!$B$5,2,IF('Análisis de Riesgos'!E214='Tablas AR'!$B$6,3,"")))</f>
        <v/>
      </c>
      <c r="G214" s="25"/>
      <c r="H214" s="26" t="str">
        <f>IF(G214='Tablas AR'!$B$10,1,IF('Análisis de Riesgos'!G214='Tablas AR'!$B$11,2,IF('Análisis de Riesgos'!G214='Tablas AR'!$B$12,3,"")))</f>
        <v/>
      </c>
      <c r="I214" s="26" t="str">
        <f t="shared" si="3"/>
        <v/>
      </c>
    </row>
    <row r="215" spans="2:9" x14ac:dyDescent="0.3">
      <c r="B215" s="27" t="str">
        <f>IFERROR(INDEX(Activos!$B$3:$C$16, MATCH(C215,Activos!$B$3:$B$16),2),"")</f>
        <v/>
      </c>
      <c r="C215" s="27"/>
      <c r="D215" s="27"/>
      <c r="E215" s="25"/>
      <c r="F215" s="26" t="str">
        <f>IF(E215='Tablas AR'!$B$4,1,IF('Análisis de Riesgos'!E215='Tablas AR'!$B$5,2,IF('Análisis de Riesgos'!E215='Tablas AR'!$B$6,3,"")))</f>
        <v/>
      </c>
      <c r="G215" s="25"/>
      <c r="H215" s="26" t="str">
        <f>IF(G215='Tablas AR'!$B$10,1,IF('Análisis de Riesgos'!G215='Tablas AR'!$B$11,2,IF('Análisis de Riesgos'!G215='Tablas AR'!$B$12,3,"")))</f>
        <v/>
      </c>
      <c r="I215" s="26" t="str">
        <f t="shared" si="3"/>
        <v/>
      </c>
    </row>
    <row r="216" spans="2:9" x14ac:dyDescent="0.3">
      <c r="B216" s="27" t="str">
        <f>IFERROR(INDEX(Activos!$B$3:$C$16, MATCH(C216,Activos!$B$3:$B$16),2),"")</f>
        <v/>
      </c>
      <c r="C216" s="27"/>
      <c r="D216" s="27"/>
      <c r="E216" s="25"/>
      <c r="F216" s="26" t="str">
        <f>IF(E216='Tablas AR'!$B$4,1,IF('Análisis de Riesgos'!E216='Tablas AR'!$B$5,2,IF('Análisis de Riesgos'!E216='Tablas AR'!$B$6,3,"")))</f>
        <v/>
      </c>
      <c r="G216" s="25"/>
      <c r="H216" s="26" t="str">
        <f>IF(G216='Tablas AR'!$B$10,1,IF('Análisis de Riesgos'!G216='Tablas AR'!$B$11,2,IF('Análisis de Riesgos'!G216='Tablas AR'!$B$12,3,"")))</f>
        <v/>
      </c>
      <c r="I216" s="26" t="str">
        <f t="shared" si="3"/>
        <v/>
      </c>
    </row>
    <row r="217" spans="2:9" x14ac:dyDescent="0.3">
      <c r="B217" s="27" t="str">
        <f>IFERROR(INDEX(Activos!$B$3:$C$16, MATCH(C217,Activos!$B$3:$B$16),2),"")</f>
        <v/>
      </c>
      <c r="C217" s="27"/>
      <c r="D217" s="27"/>
      <c r="E217" s="25"/>
      <c r="F217" s="26" t="str">
        <f>IF(E217='Tablas AR'!$B$4,1,IF('Análisis de Riesgos'!E217='Tablas AR'!$B$5,2,IF('Análisis de Riesgos'!E217='Tablas AR'!$B$6,3,"")))</f>
        <v/>
      </c>
      <c r="G217" s="25"/>
      <c r="H217" s="26" t="str">
        <f>IF(G217='Tablas AR'!$B$10,1,IF('Análisis de Riesgos'!G217='Tablas AR'!$B$11,2,IF('Análisis de Riesgos'!G217='Tablas AR'!$B$12,3,"")))</f>
        <v/>
      </c>
      <c r="I217" s="26" t="str">
        <f t="shared" si="3"/>
        <v/>
      </c>
    </row>
    <row r="218" spans="2:9" x14ac:dyDescent="0.3">
      <c r="B218" s="27" t="str">
        <f>IFERROR(INDEX(Activos!$B$3:$C$16, MATCH(C218,Activos!$B$3:$B$16),2),"")</f>
        <v/>
      </c>
      <c r="C218" s="27"/>
      <c r="D218" s="27"/>
      <c r="E218" s="25"/>
      <c r="F218" s="26" t="str">
        <f>IF(E218='Tablas AR'!$B$4,1,IF('Análisis de Riesgos'!E218='Tablas AR'!$B$5,2,IF('Análisis de Riesgos'!E218='Tablas AR'!$B$6,3,"")))</f>
        <v/>
      </c>
      <c r="G218" s="25"/>
      <c r="H218" s="26" t="str">
        <f>IF(G218='Tablas AR'!$B$10,1,IF('Análisis de Riesgos'!G218='Tablas AR'!$B$11,2,IF('Análisis de Riesgos'!G218='Tablas AR'!$B$12,3,"")))</f>
        <v/>
      </c>
      <c r="I218" s="26" t="str">
        <f t="shared" si="3"/>
        <v/>
      </c>
    </row>
    <row r="219" spans="2:9" x14ac:dyDescent="0.3">
      <c r="B219" s="27" t="str">
        <f>IFERROR(INDEX(Activos!$B$3:$C$16, MATCH(C219,Activos!$B$3:$B$16),2),"")</f>
        <v/>
      </c>
      <c r="C219" s="27"/>
      <c r="D219" s="27"/>
      <c r="E219" s="25"/>
      <c r="F219" s="26" t="str">
        <f>IF(E219='Tablas AR'!$B$4,1,IF('Análisis de Riesgos'!E219='Tablas AR'!$B$5,2,IF('Análisis de Riesgos'!E219='Tablas AR'!$B$6,3,"")))</f>
        <v/>
      </c>
      <c r="G219" s="25"/>
      <c r="H219" s="26" t="str">
        <f>IF(G219='Tablas AR'!$B$10,1,IF('Análisis de Riesgos'!G219='Tablas AR'!$B$11,2,IF('Análisis de Riesgos'!G219='Tablas AR'!$B$12,3,"")))</f>
        <v/>
      </c>
      <c r="I219" s="26" t="str">
        <f t="shared" si="3"/>
        <v/>
      </c>
    </row>
    <row r="220" spans="2:9" x14ac:dyDescent="0.3">
      <c r="B220" s="27" t="str">
        <f>IFERROR(INDEX(Activos!$B$3:$C$16, MATCH(C220,Activos!$B$3:$B$16),2),"")</f>
        <v/>
      </c>
      <c r="C220" s="27"/>
      <c r="D220" s="27"/>
      <c r="E220" s="25"/>
      <c r="F220" s="26" t="str">
        <f>IF(E220='Tablas AR'!$B$4,1,IF('Análisis de Riesgos'!E220='Tablas AR'!$B$5,2,IF('Análisis de Riesgos'!E220='Tablas AR'!$B$6,3,"")))</f>
        <v/>
      </c>
      <c r="G220" s="25"/>
      <c r="H220" s="26" t="str">
        <f>IF(G220='Tablas AR'!$B$10,1,IF('Análisis de Riesgos'!G220='Tablas AR'!$B$11,2,IF('Análisis de Riesgos'!G220='Tablas AR'!$B$12,3,"")))</f>
        <v/>
      </c>
      <c r="I220" s="26" t="str">
        <f t="shared" si="3"/>
        <v/>
      </c>
    </row>
    <row r="221" spans="2:9" x14ac:dyDescent="0.3">
      <c r="B221" s="27" t="str">
        <f>IFERROR(INDEX(Activos!$B$3:$C$16, MATCH(C221,Activos!$B$3:$B$16),2),"")</f>
        <v/>
      </c>
      <c r="C221" s="27"/>
      <c r="D221" s="27"/>
      <c r="E221" s="25"/>
      <c r="F221" s="26" t="str">
        <f>IF(E221='Tablas AR'!$B$4,1,IF('Análisis de Riesgos'!E221='Tablas AR'!$B$5,2,IF('Análisis de Riesgos'!E221='Tablas AR'!$B$6,3,"")))</f>
        <v/>
      </c>
      <c r="G221" s="25"/>
      <c r="H221" s="26" t="str">
        <f>IF(G221='Tablas AR'!$B$10,1,IF('Análisis de Riesgos'!G221='Tablas AR'!$B$11,2,IF('Análisis de Riesgos'!G221='Tablas AR'!$B$12,3,"")))</f>
        <v/>
      </c>
      <c r="I221" s="26" t="str">
        <f t="shared" si="3"/>
        <v/>
      </c>
    </row>
    <row r="222" spans="2:9" x14ac:dyDescent="0.3">
      <c r="B222" s="27" t="str">
        <f>IFERROR(INDEX(Activos!$B$3:$C$16, MATCH(C222,Activos!$B$3:$B$16),2),"")</f>
        <v/>
      </c>
      <c r="C222" s="27"/>
      <c r="D222" s="27"/>
      <c r="E222" s="25"/>
      <c r="F222" s="26" t="str">
        <f>IF(E222='Tablas AR'!$B$4,1,IF('Análisis de Riesgos'!E222='Tablas AR'!$B$5,2,IF('Análisis de Riesgos'!E222='Tablas AR'!$B$6,3,"")))</f>
        <v/>
      </c>
      <c r="G222" s="25"/>
      <c r="H222" s="26" t="str">
        <f>IF(G222='Tablas AR'!$B$10,1,IF('Análisis de Riesgos'!G222='Tablas AR'!$B$11,2,IF('Análisis de Riesgos'!G222='Tablas AR'!$B$12,3,"")))</f>
        <v/>
      </c>
      <c r="I222" s="26" t="str">
        <f t="shared" si="3"/>
        <v/>
      </c>
    </row>
    <row r="223" spans="2:9" x14ac:dyDescent="0.3">
      <c r="B223" s="27" t="str">
        <f>IFERROR(INDEX(Activos!$B$3:$C$16, MATCH(C223,Activos!$B$3:$B$16),2),"")</f>
        <v/>
      </c>
      <c r="C223" s="27"/>
      <c r="D223" s="27"/>
      <c r="E223" s="25"/>
      <c r="F223" s="26" t="str">
        <f>IF(E223='Tablas AR'!$B$4,1,IF('Análisis de Riesgos'!E223='Tablas AR'!$B$5,2,IF('Análisis de Riesgos'!E223='Tablas AR'!$B$6,3,"")))</f>
        <v/>
      </c>
      <c r="G223" s="25"/>
      <c r="H223" s="26" t="str">
        <f>IF(G223='Tablas AR'!$B$10,1,IF('Análisis de Riesgos'!G223='Tablas AR'!$B$11,2,IF('Análisis de Riesgos'!G223='Tablas AR'!$B$12,3,"")))</f>
        <v/>
      </c>
      <c r="I223" s="26" t="str">
        <f t="shared" si="3"/>
        <v/>
      </c>
    </row>
    <row r="224" spans="2:9" x14ac:dyDescent="0.3">
      <c r="B224" s="27" t="str">
        <f>IFERROR(INDEX(Activos!$B$3:$C$16, MATCH(C224,Activos!$B$3:$B$16),2),"")</f>
        <v/>
      </c>
      <c r="C224" s="27"/>
      <c r="D224" s="27"/>
      <c r="E224" s="25"/>
      <c r="F224" s="26" t="str">
        <f>IF(E224='Tablas AR'!$B$4,1,IF('Análisis de Riesgos'!E224='Tablas AR'!$B$5,2,IF('Análisis de Riesgos'!E224='Tablas AR'!$B$6,3,"")))</f>
        <v/>
      </c>
      <c r="G224" s="25"/>
      <c r="H224" s="26" t="str">
        <f>IF(G224='Tablas AR'!$B$10,1,IF('Análisis de Riesgos'!G224='Tablas AR'!$B$11,2,IF('Análisis de Riesgos'!G224='Tablas AR'!$B$12,3,"")))</f>
        <v/>
      </c>
      <c r="I224" s="26" t="str">
        <f t="shared" si="3"/>
        <v/>
      </c>
    </row>
    <row r="225" spans="2:9" x14ac:dyDescent="0.3">
      <c r="B225" s="27" t="str">
        <f>IFERROR(INDEX(Activos!$B$3:$C$16, MATCH(C225,Activos!$B$3:$B$16),2),"")</f>
        <v/>
      </c>
      <c r="C225" s="27"/>
      <c r="D225" s="27"/>
      <c r="E225" s="25"/>
      <c r="F225" s="26" t="str">
        <f>IF(E225='Tablas AR'!$B$4,1,IF('Análisis de Riesgos'!E225='Tablas AR'!$B$5,2,IF('Análisis de Riesgos'!E225='Tablas AR'!$B$6,3,"")))</f>
        <v/>
      </c>
      <c r="G225" s="25"/>
      <c r="H225" s="26" t="str">
        <f>IF(G225='Tablas AR'!$B$10,1,IF('Análisis de Riesgos'!G225='Tablas AR'!$B$11,2,IF('Análisis de Riesgos'!G225='Tablas AR'!$B$12,3,"")))</f>
        <v/>
      </c>
      <c r="I225" s="26" t="str">
        <f t="shared" si="3"/>
        <v/>
      </c>
    </row>
    <row r="226" spans="2:9" x14ac:dyDescent="0.3">
      <c r="B226" s="27" t="str">
        <f>IFERROR(INDEX(Activos!$B$3:$C$16, MATCH(C226,Activos!$B$3:$B$16),2),"")</f>
        <v/>
      </c>
      <c r="C226" s="27"/>
      <c r="D226" s="27"/>
      <c r="E226" s="25"/>
      <c r="F226" s="26" t="str">
        <f>IF(E226='Tablas AR'!$B$4,1,IF('Análisis de Riesgos'!E226='Tablas AR'!$B$5,2,IF('Análisis de Riesgos'!E226='Tablas AR'!$B$6,3,"")))</f>
        <v/>
      </c>
      <c r="G226" s="25"/>
      <c r="H226" s="26" t="str">
        <f>IF(G226='Tablas AR'!$B$10,1,IF('Análisis de Riesgos'!G226='Tablas AR'!$B$11,2,IF('Análisis de Riesgos'!G226='Tablas AR'!$B$12,3,"")))</f>
        <v/>
      </c>
      <c r="I226" s="26" t="str">
        <f t="shared" si="3"/>
        <v/>
      </c>
    </row>
    <row r="227" spans="2:9" x14ac:dyDescent="0.3">
      <c r="B227" s="27" t="str">
        <f>IFERROR(INDEX(Activos!$B$3:$C$16, MATCH(C227,Activos!$B$3:$B$16),2),"")</f>
        <v/>
      </c>
      <c r="C227" s="27"/>
      <c r="D227" s="27"/>
      <c r="E227" s="25"/>
      <c r="F227" s="26" t="str">
        <f>IF(E227='Tablas AR'!$B$4,1,IF('Análisis de Riesgos'!E227='Tablas AR'!$B$5,2,IF('Análisis de Riesgos'!E227='Tablas AR'!$B$6,3,"")))</f>
        <v/>
      </c>
      <c r="G227" s="25"/>
      <c r="H227" s="26" t="str">
        <f>IF(G227='Tablas AR'!$B$10,1,IF('Análisis de Riesgos'!G227='Tablas AR'!$B$11,2,IF('Análisis de Riesgos'!G227='Tablas AR'!$B$12,3,"")))</f>
        <v/>
      </c>
      <c r="I227" s="26" t="str">
        <f t="shared" si="3"/>
        <v/>
      </c>
    </row>
    <row r="228" spans="2:9" x14ac:dyDescent="0.3">
      <c r="B228" s="27" t="str">
        <f>IFERROR(INDEX(Activos!$B$3:$C$16, MATCH(C228,Activos!$B$3:$B$16),2),"")</f>
        <v/>
      </c>
      <c r="C228" s="27"/>
      <c r="D228" s="27"/>
      <c r="E228" s="25"/>
      <c r="F228" s="26" t="str">
        <f>IF(E228='Tablas AR'!$B$4,1,IF('Análisis de Riesgos'!E228='Tablas AR'!$B$5,2,IF('Análisis de Riesgos'!E228='Tablas AR'!$B$6,3,"")))</f>
        <v/>
      </c>
      <c r="G228" s="25"/>
      <c r="H228" s="26" t="str">
        <f>IF(G228='Tablas AR'!$B$10,1,IF('Análisis de Riesgos'!G228='Tablas AR'!$B$11,2,IF('Análisis de Riesgos'!G228='Tablas AR'!$B$12,3,"")))</f>
        <v/>
      </c>
      <c r="I228" s="26" t="str">
        <f t="shared" si="3"/>
        <v/>
      </c>
    </row>
    <row r="229" spans="2:9" x14ac:dyDescent="0.3">
      <c r="B229" s="27" t="str">
        <f>IFERROR(INDEX(Activos!$B$3:$C$16, MATCH(C229,Activos!$B$3:$B$16),2),"")</f>
        <v/>
      </c>
      <c r="C229" s="27"/>
      <c r="D229" s="27"/>
      <c r="E229" s="25"/>
      <c r="F229" s="26" t="str">
        <f>IF(E229='Tablas AR'!$B$4,1,IF('Análisis de Riesgos'!E229='Tablas AR'!$B$5,2,IF('Análisis de Riesgos'!E229='Tablas AR'!$B$6,3,"")))</f>
        <v/>
      </c>
      <c r="G229" s="25"/>
      <c r="H229" s="26" t="str">
        <f>IF(G229='Tablas AR'!$B$10,1,IF('Análisis de Riesgos'!G229='Tablas AR'!$B$11,2,IF('Análisis de Riesgos'!G229='Tablas AR'!$B$12,3,"")))</f>
        <v/>
      </c>
      <c r="I229" s="26" t="str">
        <f t="shared" si="3"/>
        <v/>
      </c>
    </row>
    <row r="230" spans="2:9" x14ac:dyDescent="0.3">
      <c r="B230" s="27" t="str">
        <f>IFERROR(INDEX(Activos!$B$3:$C$16, MATCH(C230,Activos!$B$3:$B$16),2),"")</f>
        <v/>
      </c>
      <c r="C230" s="27"/>
      <c r="D230" s="27"/>
      <c r="E230" s="25"/>
      <c r="F230" s="26" t="str">
        <f>IF(E230='Tablas AR'!$B$4,1,IF('Análisis de Riesgos'!E230='Tablas AR'!$B$5,2,IF('Análisis de Riesgos'!E230='Tablas AR'!$B$6,3,"")))</f>
        <v/>
      </c>
      <c r="G230" s="25"/>
      <c r="H230" s="26" t="str">
        <f>IF(G230='Tablas AR'!$B$10,1,IF('Análisis de Riesgos'!G230='Tablas AR'!$B$11,2,IF('Análisis de Riesgos'!G230='Tablas AR'!$B$12,3,"")))</f>
        <v/>
      </c>
      <c r="I230" s="26" t="str">
        <f t="shared" si="3"/>
        <v/>
      </c>
    </row>
    <row r="231" spans="2:9" x14ac:dyDescent="0.3">
      <c r="B231" s="27" t="str">
        <f>IFERROR(INDEX(Activos!$B$3:$C$16, MATCH(C231,Activos!$B$3:$B$16),2),"")</f>
        <v/>
      </c>
      <c r="C231" s="27"/>
      <c r="D231" s="27"/>
      <c r="E231" s="25"/>
      <c r="F231" s="26" t="str">
        <f>IF(E231='Tablas AR'!$B$4,1,IF('Análisis de Riesgos'!E231='Tablas AR'!$B$5,2,IF('Análisis de Riesgos'!E231='Tablas AR'!$B$6,3,"")))</f>
        <v/>
      </c>
      <c r="G231" s="25"/>
      <c r="H231" s="26" t="str">
        <f>IF(G231='Tablas AR'!$B$10,1,IF('Análisis de Riesgos'!G231='Tablas AR'!$B$11,2,IF('Análisis de Riesgos'!G231='Tablas AR'!$B$12,3,"")))</f>
        <v/>
      </c>
      <c r="I231" s="26" t="str">
        <f t="shared" si="3"/>
        <v/>
      </c>
    </row>
    <row r="232" spans="2:9" x14ac:dyDescent="0.3">
      <c r="B232" s="27" t="str">
        <f>IFERROR(INDEX(Activos!$B$3:$C$16, MATCH(C232,Activos!$B$3:$B$16),2),"")</f>
        <v/>
      </c>
      <c r="C232" s="27"/>
      <c r="D232" s="27"/>
      <c r="E232" s="25"/>
      <c r="F232" s="26" t="str">
        <f>IF(E232='Tablas AR'!$B$4,1,IF('Análisis de Riesgos'!E232='Tablas AR'!$B$5,2,IF('Análisis de Riesgos'!E232='Tablas AR'!$B$6,3,"")))</f>
        <v/>
      </c>
      <c r="G232" s="25"/>
      <c r="H232" s="26" t="str">
        <f>IF(G232='Tablas AR'!$B$10,1,IF('Análisis de Riesgos'!G232='Tablas AR'!$B$11,2,IF('Análisis de Riesgos'!G232='Tablas AR'!$B$12,3,"")))</f>
        <v/>
      </c>
      <c r="I232" s="26" t="str">
        <f t="shared" si="3"/>
        <v/>
      </c>
    </row>
    <row r="233" spans="2:9" x14ac:dyDescent="0.3">
      <c r="B233" s="27" t="str">
        <f>IFERROR(INDEX(Activos!$B$3:$C$16, MATCH(C233,Activos!$B$3:$B$16),2),"")</f>
        <v/>
      </c>
      <c r="C233" s="27"/>
      <c r="D233" s="27"/>
      <c r="E233" s="25"/>
      <c r="F233" s="26" t="str">
        <f>IF(E233='Tablas AR'!$B$4,1,IF('Análisis de Riesgos'!E233='Tablas AR'!$B$5,2,IF('Análisis de Riesgos'!E233='Tablas AR'!$B$6,3,"")))</f>
        <v/>
      </c>
      <c r="G233" s="25"/>
      <c r="H233" s="26" t="str">
        <f>IF(G233='Tablas AR'!$B$10,1,IF('Análisis de Riesgos'!G233='Tablas AR'!$B$11,2,IF('Análisis de Riesgos'!G233='Tablas AR'!$B$12,3,"")))</f>
        <v/>
      </c>
      <c r="I233" s="26" t="str">
        <f t="shared" si="3"/>
        <v/>
      </c>
    </row>
    <row r="234" spans="2:9" x14ac:dyDescent="0.3">
      <c r="B234" s="27" t="str">
        <f>IFERROR(INDEX(Activos!$B$3:$C$16, MATCH(C234,Activos!$B$3:$B$16),2),"")</f>
        <v/>
      </c>
      <c r="C234" s="27"/>
      <c r="D234" s="27"/>
      <c r="E234" s="25"/>
      <c r="F234" s="26" t="str">
        <f>IF(E234='Tablas AR'!$B$4,1,IF('Análisis de Riesgos'!E234='Tablas AR'!$B$5,2,IF('Análisis de Riesgos'!E234='Tablas AR'!$B$6,3,"")))</f>
        <v/>
      </c>
      <c r="G234" s="25"/>
      <c r="H234" s="26" t="str">
        <f>IF(G234='Tablas AR'!$B$10,1,IF('Análisis de Riesgos'!G234='Tablas AR'!$B$11,2,IF('Análisis de Riesgos'!G234='Tablas AR'!$B$12,3,"")))</f>
        <v/>
      </c>
      <c r="I234" s="26" t="str">
        <f t="shared" si="3"/>
        <v/>
      </c>
    </row>
    <row r="235" spans="2:9" x14ac:dyDescent="0.3">
      <c r="B235" s="27" t="str">
        <f>IFERROR(INDEX(Activos!$B$3:$C$16, MATCH(C235,Activos!$B$3:$B$16),2),"")</f>
        <v/>
      </c>
      <c r="C235" s="27"/>
      <c r="D235" s="27"/>
      <c r="E235" s="25"/>
      <c r="F235" s="26" t="str">
        <f>IF(E235='Tablas AR'!$B$4,1,IF('Análisis de Riesgos'!E235='Tablas AR'!$B$5,2,IF('Análisis de Riesgos'!E235='Tablas AR'!$B$6,3,"")))</f>
        <v/>
      </c>
      <c r="G235" s="25"/>
      <c r="H235" s="26" t="str">
        <f>IF(G235='Tablas AR'!$B$10,1,IF('Análisis de Riesgos'!G235='Tablas AR'!$B$11,2,IF('Análisis de Riesgos'!G235='Tablas AR'!$B$12,3,"")))</f>
        <v/>
      </c>
      <c r="I235" s="26" t="str">
        <f t="shared" si="3"/>
        <v/>
      </c>
    </row>
    <row r="236" spans="2:9" x14ac:dyDescent="0.3">
      <c r="B236" s="27" t="str">
        <f>IFERROR(INDEX(Activos!$B$3:$C$16, MATCH(C236,Activos!$B$3:$B$16),2),"")</f>
        <v/>
      </c>
      <c r="C236" s="27"/>
      <c r="D236" s="27"/>
      <c r="E236" s="25"/>
      <c r="F236" s="26" t="str">
        <f>IF(E236='Tablas AR'!$B$4,1,IF('Análisis de Riesgos'!E236='Tablas AR'!$B$5,2,IF('Análisis de Riesgos'!E236='Tablas AR'!$B$6,3,"")))</f>
        <v/>
      </c>
      <c r="G236" s="25"/>
      <c r="H236" s="26" t="str">
        <f>IF(G236='Tablas AR'!$B$10,1,IF('Análisis de Riesgos'!G236='Tablas AR'!$B$11,2,IF('Análisis de Riesgos'!G236='Tablas AR'!$B$12,3,"")))</f>
        <v/>
      </c>
      <c r="I236" s="26" t="str">
        <f t="shared" si="3"/>
        <v/>
      </c>
    </row>
    <row r="237" spans="2:9" x14ac:dyDescent="0.3">
      <c r="B237" s="27" t="str">
        <f>IFERROR(INDEX(Activos!$B$3:$C$16, MATCH(C237,Activos!$B$3:$B$16),2),"")</f>
        <v/>
      </c>
      <c r="C237" s="27"/>
      <c r="D237" s="27"/>
      <c r="E237" s="25"/>
      <c r="F237" s="26" t="str">
        <f>IF(E237='Tablas AR'!$B$4,1,IF('Análisis de Riesgos'!E237='Tablas AR'!$B$5,2,IF('Análisis de Riesgos'!E237='Tablas AR'!$B$6,3,"")))</f>
        <v/>
      </c>
      <c r="G237" s="25"/>
      <c r="H237" s="26" t="str">
        <f>IF(G237='Tablas AR'!$B$10,1,IF('Análisis de Riesgos'!G237='Tablas AR'!$B$11,2,IF('Análisis de Riesgos'!G237='Tablas AR'!$B$12,3,"")))</f>
        <v/>
      </c>
      <c r="I237" s="26" t="str">
        <f t="shared" si="3"/>
        <v/>
      </c>
    </row>
    <row r="238" spans="2:9" x14ac:dyDescent="0.3">
      <c r="B238" s="27" t="str">
        <f>IFERROR(INDEX(Activos!$B$3:$C$16, MATCH(C238,Activos!$B$3:$B$16),2),"")</f>
        <v/>
      </c>
      <c r="C238" s="27"/>
      <c r="D238" s="27"/>
      <c r="E238" s="25"/>
      <c r="F238" s="26" t="str">
        <f>IF(E238='Tablas AR'!$B$4,1,IF('Análisis de Riesgos'!E238='Tablas AR'!$B$5,2,IF('Análisis de Riesgos'!E238='Tablas AR'!$B$6,3,"")))</f>
        <v/>
      </c>
      <c r="G238" s="25"/>
      <c r="H238" s="26" t="str">
        <f>IF(G238='Tablas AR'!$B$10,1,IF('Análisis de Riesgos'!G238='Tablas AR'!$B$11,2,IF('Análisis de Riesgos'!G238='Tablas AR'!$B$12,3,"")))</f>
        <v/>
      </c>
      <c r="I238" s="26" t="str">
        <f t="shared" si="3"/>
        <v/>
      </c>
    </row>
    <row r="239" spans="2:9" x14ac:dyDescent="0.3">
      <c r="B239" s="27" t="str">
        <f>IFERROR(INDEX(Activos!$B$3:$C$16, MATCH(C239,Activos!$B$3:$B$16),2),"")</f>
        <v/>
      </c>
      <c r="C239" s="27"/>
      <c r="D239" s="27"/>
      <c r="E239" s="25"/>
      <c r="F239" s="26" t="str">
        <f>IF(E239='Tablas AR'!$B$4,1,IF('Análisis de Riesgos'!E239='Tablas AR'!$B$5,2,IF('Análisis de Riesgos'!E239='Tablas AR'!$B$6,3,"")))</f>
        <v/>
      </c>
      <c r="G239" s="25"/>
      <c r="H239" s="26" t="str">
        <f>IF(G239='Tablas AR'!$B$10,1,IF('Análisis de Riesgos'!G239='Tablas AR'!$B$11,2,IF('Análisis de Riesgos'!G239='Tablas AR'!$B$12,3,"")))</f>
        <v/>
      </c>
      <c r="I239" s="26" t="str">
        <f t="shared" si="3"/>
        <v/>
      </c>
    </row>
    <row r="240" spans="2:9" x14ac:dyDescent="0.3">
      <c r="B240" s="27" t="str">
        <f>IFERROR(INDEX(Activos!$B$3:$C$16, MATCH(C240,Activos!$B$3:$B$16),2),"")</f>
        <v/>
      </c>
      <c r="C240" s="27"/>
      <c r="D240" s="27"/>
      <c r="E240" s="25"/>
      <c r="F240" s="26" t="str">
        <f>IF(E240='Tablas AR'!$B$4,1,IF('Análisis de Riesgos'!E240='Tablas AR'!$B$5,2,IF('Análisis de Riesgos'!E240='Tablas AR'!$B$6,3,"")))</f>
        <v/>
      </c>
      <c r="G240" s="25"/>
      <c r="H240" s="26" t="str">
        <f>IF(G240='Tablas AR'!$B$10,1,IF('Análisis de Riesgos'!G240='Tablas AR'!$B$11,2,IF('Análisis de Riesgos'!G240='Tablas AR'!$B$12,3,"")))</f>
        <v/>
      </c>
      <c r="I240" s="26" t="str">
        <f t="shared" si="3"/>
        <v/>
      </c>
    </row>
    <row r="241" spans="2:9" x14ac:dyDescent="0.3">
      <c r="B241" s="27" t="str">
        <f>IFERROR(INDEX(Activos!$B$3:$C$16, MATCH(C241,Activos!$B$3:$B$16),2),"")</f>
        <v/>
      </c>
      <c r="C241" s="27"/>
      <c r="D241" s="27"/>
      <c r="E241" s="25"/>
      <c r="F241" s="26" t="str">
        <f>IF(E241='Tablas AR'!$B$4,1,IF('Análisis de Riesgos'!E241='Tablas AR'!$B$5,2,IF('Análisis de Riesgos'!E241='Tablas AR'!$B$6,3,"")))</f>
        <v/>
      </c>
      <c r="G241" s="25"/>
      <c r="H241" s="26" t="str">
        <f>IF(G241='Tablas AR'!$B$10,1,IF('Análisis de Riesgos'!G241='Tablas AR'!$B$11,2,IF('Análisis de Riesgos'!G241='Tablas AR'!$B$12,3,"")))</f>
        <v/>
      </c>
      <c r="I241" s="26" t="str">
        <f t="shared" si="3"/>
        <v/>
      </c>
    </row>
    <row r="242" spans="2:9" x14ac:dyDescent="0.3">
      <c r="B242" s="27" t="str">
        <f>IFERROR(INDEX(Activos!$B$3:$C$16, MATCH(C242,Activos!$B$3:$B$16),2),"")</f>
        <v/>
      </c>
      <c r="C242" s="27"/>
      <c r="D242" s="27"/>
      <c r="E242" s="25"/>
      <c r="F242" s="26" t="str">
        <f>IF(E242='Tablas AR'!$B$4,1,IF('Análisis de Riesgos'!E242='Tablas AR'!$B$5,2,IF('Análisis de Riesgos'!E242='Tablas AR'!$B$6,3,"")))</f>
        <v/>
      </c>
      <c r="G242" s="25"/>
      <c r="H242" s="26" t="str">
        <f>IF(G242='Tablas AR'!$B$10,1,IF('Análisis de Riesgos'!G242='Tablas AR'!$B$11,2,IF('Análisis de Riesgos'!G242='Tablas AR'!$B$12,3,"")))</f>
        <v/>
      </c>
      <c r="I242" s="26" t="str">
        <f t="shared" si="3"/>
        <v/>
      </c>
    </row>
    <row r="243" spans="2:9" x14ac:dyDescent="0.3">
      <c r="B243" s="27" t="str">
        <f>IFERROR(INDEX(Activos!$B$3:$C$16, MATCH(C243,Activos!$B$3:$B$16),2),"")</f>
        <v/>
      </c>
      <c r="C243" s="27"/>
      <c r="D243" s="27"/>
      <c r="E243" s="25"/>
      <c r="F243" s="26" t="str">
        <f>IF(E243='Tablas AR'!$B$4,1,IF('Análisis de Riesgos'!E243='Tablas AR'!$B$5,2,IF('Análisis de Riesgos'!E243='Tablas AR'!$B$6,3,"")))</f>
        <v/>
      </c>
      <c r="G243" s="25"/>
      <c r="H243" s="26" t="str">
        <f>IF(G243='Tablas AR'!$B$10,1,IF('Análisis de Riesgos'!G243='Tablas AR'!$B$11,2,IF('Análisis de Riesgos'!G243='Tablas AR'!$B$12,3,"")))</f>
        <v/>
      </c>
      <c r="I243" s="26" t="str">
        <f t="shared" si="3"/>
        <v/>
      </c>
    </row>
    <row r="244" spans="2:9" x14ac:dyDescent="0.3">
      <c r="B244" s="27" t="str">
        <f>IFERROR(INDEX(Activos!$B$3:$C$16, MATCH(C244,Activos!$B$3:$B$16),2),"")</f>
        <v/>
      </c>
      <c r="C244" s="27"/>
      <c r="D244" s="27"/>
      <c r="E244" s="25"/>
      <c r="F244" s="26" t="str">
        <f>IF(E244='Tablas AR'!$B$4,1,IF('Análisis de Riesgos'!E244='Tablas AR'!$B$5,2,IF('Análisis de Riesgos'!E244='Tablas AR'!$B$6,3,"")))</f>
        <v/>
      </c>
      <c r="G244" s="25"/>
      <c r="H244" s="26" t="str">
        <f>IF(G244='Tablas AR'!$B$10,1,IF('Análisis de Riesgos'!G244='Tablas AR'!$B$11,2,IF('Análisis de Riesgos'!G244='Tablas AR'!$B$12,3,"")))</f>
        <v/>
      </c>
      <c r="I244" s="26" t="str">
        <f t="shared" si="3"/>
        <v/>
      </c>
    </row>
    <row r="245" spans="2:9" x14ac:dyDescent="0.3">
      <c r="B245" s="27" t="str">
        <f>IFERROR(INDEX(Activos!$B$3:$C$16, MATCH(C245,Activos!$B$3:$B$16),2),"")</f>
        <v/>
      </c>
      <c r="C245" s="27"/>
      <c r="D245" s="27"/>
      <c r="E245" s="25"/>
      <c r="F245" s="26" t="str">
        <f>IF(E245='Tablas AR'!$B$4,1,IF('Análisis de Riesgos'!E245='Tablas AR'!$B$5,2,IF('Análisis de Riesgos'!E245='Tablas AR'!$B$6,3,"")))</f>
        <v/>
      </c>
      <c r="G245" s="25"/>
      <c r="H245" s="26" t="str">
        <f>IF(G245='Tablas AR'!$B$10,1,IF('Análisis de Riesgos'!G245='Tablas AR'!$B$11,2,IF('Análisis de Riesgos'!G245='Tablas AR'!$B$12,3,"")))</f>
        <v/>
      </c>
      <c r="I245" s="26" t="str">
        <f t="shared" si="3"/>
        <v/>
      </c>
    </row>
    <row r="246" spans="2:9" x14ac:dyDescent="0.3">
      <c r="B246" s="27" t="str">
        <f>IFERROR(INDEX(Activos!$B$3:$C$16, MATCH(C246,Activos!$B$3:$B$16),2),"")</f>
        <v/>
      </c>
      <c r="C246" s="27"/>
      <c r="D246" s="27"/>
      <c r="E246" s="25"/>
      <c r="F246" s="26" t="str">
        <f>IF(E246='Tablas AR'!$B$4,1,IF('Análisis de Riesgos'!E246='Tablas AR'!$B$5,2,IF('Análisis de Riesgos'!E246='Tablas AR'!$B$6,3,"")))</f>
        <v/>
      </c>
      <c r="G246" s="25"/>
      <c r="H246" s="26" t="str">
        <f>IF(G246='Tablas AR'!$B$10,1,IF('Análisis de Riesgos'!G246='Tablas AR'!$B$11,2,IF('Análisis de Riesgos'!G246='Tablas AR'!$B$12,3,"")))</f>
        <v/>
      </c>
      <c r="I246" s="26" t="str">
        <f t="shared" si="3"/>
        <v/>
      </c>
    </row>
    <row r="247" spans="2:9" x14ac:dyDescent="0.3">
      <c r="B247" s="27" t="str">
        <f>IFERROR(INDEX(Activos!$B$3:$C$16, MATCH(C247,Activos!$B$3:$B$16),2),"")</f>
        <v/>
      </c>
      <c r="C247" s="27"/>
      <c r="D247" s="27"/>
      <c r="E247" s="25"/>
      <c r="F247" s="26" t="str">
        <f>IF(E247='Tablas AR'!$B$4,1,IF('Análisis de Riesgos'!E247='Tablas AR'!$B$5,2,IF('Análisis de Riesgos'!E247='Tablas AR'!$B$6,3,"")))</f>
        <v/>
      </c>
      <c r="G247" s="25"/>
      <c r="H247" s="26" t="str">
        <f>IF(G247='Tablas AR'!$B$10,1,IF('Análisis de Riesgos'!G247='Tablas AR'!$B$11,2,IF('Análisis de Riesgos'!G247='Tablas AR'!$B$12,3,"")))</f>
        <v/>
      </c>
      <c r="I247" s="26" t="str">
        <f t="shared" si="3"/>
        <v/>
      </c>
    </row>
    <row r="248" spans="2:9" x14ac:dyDescent="0.3">
      <c r="B248" s="27" t="str">
        <f>IFERROR(INDEX(Activos!$B$3:$C$16, MATCH(C248,Activos!$B$3:$B$16),2),"")</f>
        <v/>
      </c>
      <c r="C248" s="27"/>
      <c r="D248" s="27"/>
      <c r="E248" s="25"/>
      <c r="F248" s="26" t="str">
        <f>IF(E248='Tablas AR'!$B$4,1,IF('Análisis de Riesgos'!E248='Tablas AR'!$B$5,2,IF('Análisis de Riesgos'!E248='Tablas AR'!$B$6,3,"")))</f>
        <v/>
      </c>
      <c r="G248" s="25"/>
      <c r="H248" s="26" t="str">
        <f>IF(G248='Tablas AR'!$B$10,1,IF('Análisis de Riesgos'!G248='Tablas AR'!$B$11,2,IF('Análisis de Riesgos'!G248='Tablas AR'!$B$12,3,"")))</f>
        <v/>
      </c>
      <c r="I248" s="26" t="str">
        <f t="shared" si="3"/>
        <v/>
      </c>
    </row>
    <row r="249" spans="2:9" x14ac:dyDescent="0.3">
      <c r="B249" s="27" t="str">
        <f>IFERROR(INDEX(Activos!$B$3:$C$16, MATCH(C249,Activos!$B$3:$B$16),2),"")</f>
        <v/>
      </c>
      <c r="C249" s="27"/>
      <c r="D249" s="27"/>
      <c r="E249" s="25"/>
      <c r="F249" s="26" t="str">
        <f>IF(E249='Tablas AR'!$B$4,1,IF('Análisis de Riesgos'!E249='Tablas AR'!$B$5,2,IF('Análisis de Riesgos'!E249='Tablas AR'!$B$6,3,"")))</f>
        <v/>
      </c>
      <c r="G249" s="25"/>
      <c r="H249" s="26" t="str">
        <f>IF(G249='Tablas AR'!$B$10,1,IF('Análisis de Riesgos'!G249='Tablas AR'!$B$11,2,IF('Análisis de Riesgos'!G249='Tablas AR'!$B$12,3,"")))</f>
        <v/>
      </c>
      <c r="I249" s="26" t="str">
        <f t="shared" si="3"/>
        <v/>
      </c>
    </row>
    <row r="250" spans="2:9" x14ac:dyDescent="0.3">
      <c r="B250" s="27" t="str">
        <f>IFERROR(INDEX(Activos!$B$3:$C$16, MATCH(C250,Activos!$B$3:$B$16),2),"")</f>
        <v/>
      </c>
      <c r="C250" s="27"/>
      <c r="D250" s="27"/>
      <c r="E250" s="25"/>
      <c r="F250" s="26" t="str">
        <f>IF(E250='Tablas AR'!$B$4,1,IF('Análisis de Riesgos'!E250='Tablas AR'!$B$5,2,IF('Análisis de Riesgos'!E250='Tablas AR'!$B$6,3,"")))</f>
        <v/>
      </c>
      <c r="G250" s="25"/>
      <c r="H250" s="26" t="str">
        <f>IF(G250='Tablas AR'!$B$10,1,IF('Análisis de Riesgos'!G250='Tablas AR'!$B$11,2,IF('Análisis de Riesgos'!G250='Tablas AR'!$B$12,3,"")))</f>
        <v/>
      </c>
      <c r="I250" s="26" t="str">
        <f t="shared" si="3"/>
        <v/>
      </c>
    </row>
    <row r="251" spans="2:9" x14ac:dyDescent="0.3">
      <c r="B251" s="27" t="str">
        <f>IFERROR(INDEX(Activos!$B$3:$C$16, MATCH(C251,Activos!$B$3:$B$16),2),"")</f>
        <v/>
      </c>
      <c r="C251" s="27"/>
      <c r="D251" s="27"/>
      <c r="E251" s="25"/>
      <c r="F251" s="26" t="str">
        <f>IF(E251='Tablas AR'!$B$4,1,IF('Análisis de Riesgos'!E251='Tablas AR'!$B$5,2,IF('Análisis de Riesgos'!E251='Tablas AR'!$B$6,3,"")))</f>
        <v/>
      </c>
      <c r="G251" s="25"/>
      <c r="H251" s="26" t="str">
        <f>IF(G251='Tablas AR'!$B$10,1,IF('Análisis de Riesgos'!G251='Tablas AR'!$B$11,2,IF('Análisis de Riesgos'!G251='Tablas AR'!$B$12,3,"")))</f>
        <v/>
      </c>
      <c r="I251" s="26" t="str">
        <f t="shared" si="3"/>
        <v/>
      </c>
    </row>
    <row r="252" spans="2:9" x14ac:dyDescent="0.3">
      <c r="B252" s="27" t="str">
        <f>IFERROR(INDEX(Activos!$B$3:$C$16, MATCH(C252,Activos!$B$3:$B$16),2),"")</f>
        <v/>
      </c>
      <c r="C252" s="27"/>
      <c r="D252" s="27"/>
      <c r="E252" s="25"/>
      <c r="F252" s="26" t="str">
        <f>IF(E252='Tablas AR'!$B$4,1,IF('Análisis de Riesgos'!E252='Tablas AR'!$B$5,2,IF('Análisis de Riesgos'!E252='Tablas AR'!$B$6,3,"")))</f>
        <v/>
      </c>
      <c r="G252" s="25"/>
      <c r="H252" s="26" t="str">
        <f>IF(G252='Tablas AR'!$B$10,1,IF('Análisis de Riesgos'!G252='Tablas AR'!$B$11,2,IF('Análisis de Riesgos'!G252='Tablas AR'!$B$12,3,"")))</f>
        <v/>
      </c>
      <c r="I252" s="26" t="str">
        <f t="shared" si="3"/>
        <v/>
      </c>
    </row>
    <row r="253" spans="2:9" x14ac:dyDescent="0.3">
      <c r="B253" s="27" t="str">
        <f>IFERROR(INDEX(Activos!$B$3:$C$16, MATCH(C253,Activos!$B$3:$B$16),2),"")</f>
        <v/>
      </c>
      <c r="C253" s="27"/>
      <c r="D253" s="27"/>
      <c r="E253" s="25"/>
      <c r="F253" s="26" t="str">
        <f>IF(E253='Tablas AR'!$B$4,1,IF('Análisis de Riesgos'!E253='Tablas AR'!$B$5,2,IF('Análisis de Riesgos'!E253='Tablas AR'!$B$6,3,"")))</f>
        <v/>
      </c>
      <c r="G253" s="25"/>
      <c r="H253" s="26" t="str">
        <f>IF(G253='Tablas AR'!$B$10,1,IF('Análisis de Riesgos'!G253='Tablas AR'!$B$11,2,IF('Análisis de Riesgos'!G253='Tablas AR'!$B$12,3,"")))</f>
        <v/>
      </c>
      <c r="I253" s="26" t="str">
        <f t="shared" si="3"/>
        <v/>
      </c>
    </row>
    <row r="254" spans="2:9" x14ac:dyDescent="0.3">
      <c r="B254" s="27" t="str">
        <f>IFERROR(INDEX(Activos!$B$3:$C$16, MATCH(C254,Activos!$B$3:$B$16),2),"")</f>
        <v/>
      </c>
      <c r="C254" s="27"/>
      <c r="D254" s="27"/>
      <c r="E254" s="25"/>
      <c r="F254" s="26" t="str">
        <f>IF(E254='Tablas AR'!$B$4,1,IF('Análisis de Riesgos'!E254='Tablas AR'!$B$5,2,IF('Análisis de Riesgos'!E254='Tablas AR'!$B$6,3,"")))</f>
        <v/>
      </c>
      <c r="G254" s="25"/>
      <c r="H254" s="26" t="str">
        <f>IF(G254='Tablas AR'!$B$10,1,IF('Análisis de Riesgos'!G254='Tablas AR'!$B$11,2,IF('Análisis de Riesgos'!G254='Tablas AR'!$B$12,3,"")))</f>
        <v/>
      </c>
      <c r="I254" s="26" t="str">
        <f t="shared" si="3"/>
        <v/>
      </c>
    </row>
    <row r="255" spans="2:9" x14ac:dyDescent="0.3">
      <c r="B255" s="27" t="str">
        <f>IFERROR(INDEX(Activos!$B$3:$C$16, MATCH(C255,Activos!$B$3:$B$16),2),"")</f>
        <v/>
      </c>
      <c r="C255" s="27"/>
      <c r="D255" s="27"/>
      <c r="E255" s="25"/>
      <c r="F255" s="26" t="str">
        <f>IF(E255='Tablas AR'!$B$4,1,IF('Análisis de Riesgos'!E255='Tablas AR'!$B$5,2,IF('Análisis de Riesgos'!E255='Tablas AR'!$B$6,3,"")))</f>
        <v/>
      </c>
      <c r="G255" s="25"/>
      <c r="H255" s="26" t="str">
        <f>IF(G255='Tablas AR'!$B$10,1,IF('Análisis de Riesgos'!G255='Tablas AR'!$B$11,2,IF('Análisis de Riesgos'!G255='Tablas AR'!$B$12,3,"")))</f>
        <v/>
      </c>
      <c r="I255" s="26" t="str">
        <f t="shared" si="3"/>
        <v/>
      </c>
    </row>
    <row r="256" spans="2:9" x14ac:dyDescent="0.3">
      <c r="B256" s="27" t="str">
        <f>IFERROR(INDEX(Activos!$B$3:$C$16, MATCH(C256,Activos!$B$3:$B$16),2),"")</f>
        <v/>
      </c>
      <c r="C256" s="27"/>
      <c r="D256" s="27"/>
      <c r="E256" s="25"/>
      <c r="F256" s="26" t="str">
        <f>IF(E256='Tablas AR'!$B$4,1,IF('Análisis de Riesgos'!E256='Tablas AR'!$B$5,2,IF('Análisis de Riesgos'!E256='Tablas AR'!$B$6,3,"")))</f>
        <v/>
      </c>
      <c r="G256" s="25"/>
      <c r="H256" s="26" t="str">
        <f>IF(G256='Tablas AR'!$B$10,1,IF('Análisis de Riesgos'!G256='Tablas AR'!$B$11,2,IF('Análisis de Riesgos'!G256='Tablas AR'!$B$12,3,"")))</f>
        <v/>
      </c>
      <c r="I256" s="26" t="str">
        <f t="shared" si="3"/>
        <v/>
      </c>
    </row>
    <row r="257" spans="2:9" x14ac:dyDescent="0.3">
      <c r="B257" s="27" t="str">
        <f>IFERROR(INDEX(Activos!$B$3:$C$16, MATCH(C257,Activos!$B$3:$B$16),2),"")</f>
        <v/>
      </c>
      <c r="C257" s="27"/>
      <c r="D257" s="27"/>
      <c r="E257" s="25"/>
      <c r="F257" s="26" t="str">
        <f>IF(E257='Tablas AR'!$B$4,1,IF('Análisis de Riesgos'!E257='Tablas AR'!$B$5,2,IF('Análisis de Riesgos'!E257='Tablas AR'!$B$6,3,"")))</f>
        <v/>
      </c>
      <c r="G257" s="25"/>
      <c r="H257" s="26" t="str">
        <f>IF(G257='Tablas AR'!$B$10,1,IF('Análisis de Riesgos'!G257='Tablas AR'!$B$11,2,IF('Análisis de Riesgos'!G257='Tablas AR'!$B$12,3,"")))</f>
        <v/>
      </c>
      <c r="I257" s="26" t="str">
        <f t="shared" si="3"/>
        <v/>
      </c>
    </row>
    <row r="258" spans="2:9" x14ac:dyDescent="0.3">
      <c r="B258" s="27" t="str">
        <f>IFERROR(INDEX(Activos!$B$3:$C$16, MATCH(C258,Activos!$B$3:$B$16),2),"")</f>
        <v/>
      </c>
      <c r="C258" s="27"/>
      <c r="D258" s="27"/>
      <c r="E258" s="25"/>
      <c r="F258" s="26" t="str">
        <f>IF(E258='Tablas AR'!$B$4,1,IF('Análisis de Riesgos'!E258='Tablas AR'!$B$5,2,IF('Análisis de Riesgos'!E258='Tablas AR'!$B$6,3,"")))</f>
        <v/>
      </c>
      <c r="G258" s="25"/>
      <c r="H258" s="26" t="str">
        <f>IF(G258='Tablas AR'!$B$10,1,IF('Análisis de Riesgos'!G258='Tablas AR'!$B$11,2,IF('Análisis de Riesgos'!G258='Tablas AR'!$B$12,3,"")))</f>
        <v/>
      </c>
      <c r="I258" s="26" t="str">
        <f t="shared" si="3"/>
        <v/>
      </c>
    </row>
    <row r="259" spans="2:9" x14ac:dyDescent="0.3">
      <c r="B259" s="27" t="str">
        <f>IFERROR(INDEX(Activos!$B$3:$C$16, MATCH(C259,Activos!$B$3:$B$16),2),"")</f>
        <v/>
      </c>
      <c r="C259" s="27"/>
      <c r="D259" s="27"/>
      <c r="E259" s="25"/>
      <c r="F259" s="26" t="str">
        <f>IF(E259='Tablas AR'!$B$4,1,IF('Análisis de Riesgos'!E259='Tablas AR'!$B$5,2,IF('Análisis de Riesgos'!E259='Tablas AR'!$B$6,3,"")))</f>
        <v/>
      </c>
      <c r="G259" s="25"/>
      <c r="H259" s="26" t="str">
        <f>IF(G259='Tablas AR'!$B$10,1,IF('Análisis de Riesgos'!G259='Tablas AR'!$B$11,2,IF('Análisis de Riesgos'!G259='Tablas AR'!$B$12,3,"")))</f>
        <v/>
      </c>
      <c r="I259" s="26" t="str">
        <f t="shared" si="3"/>
        <v/>
      </c>
    </row>
    <row r="260" spans="2:9" x14ac:dyDescent="0.3">
      <c r="B260" s="27" t="str">
        <f>IFERROR(INDEX(Activos!$B$3:$C$16, MATCH(C260,Activos!$B$3:$B$16),2),"")</f>
        <v/>
      </c>
      <c r="C260" s="27"/>
      <c r="D260" s="27"/>
      <c r="E260" s="25"/>
      <c r="F260" s="26" t="str">
        <f>IF(E260='Tablas AR'!$B$4,1,IF('Análisis de Riesgos'!E260='Tablas AR'!$B$5,2,IF('Análisis de Riesgos'!E260='Tablas AR'!$B$6,3,"")))</f>
        <v/>
      </c>
      <c r="G260" s="25"/>
      <c r="H260" s="26" t="str">
        <f>IF(G260='Tablas AR'!$B$10,1,IF('Análisis de Riesgos'!G260='Tablas AR'!$B$11,2,IF('Análisis de Riesgos'!G260='Tablas AR'!$B$12,3,"")))</f>
        <v/>
      </c>
      <c r="I260" s="26" t="str">
        <f t="shared" ref="I260:I323" si="4" xml:space="preserve"> IFERROR(F260*H260,"")</f>
        <v/>
      </c>
    </row>
    <row r="261" spans="2:9" x14ac:dyDescent="0.3">
      <c r="B261" s="27" t="str">
        <f>IFERROR(INDEX(Activos!$B$3:$C$16, MATCH(C261,Activos!$B$3:$B$16),2),"")</f>
        <v/>
      </c>
      <c r="C261" s="27"/>
      <c r="D261" s="27"/>
      <c r="E261" s="25"/>
      <c r="F261" s="26" t="str">
        <f>IF(E261='Tablas AR'!$B$4,1,IF('Análisis de Riesgos'!E261='Tablas AR'!$B$5,2,IF('Análisis de Riesgos'!E261='Tablas AR'!$B$6,3,"")))</f>
        <v/>
      </c>
      <c r="G261" s="25"/>
      <c r="H261" s="26" t="str">
        <f>IF(G261='Tablas AR'!$B$10,1,IF('Análisis de Riesgos'!G261='Tablas AR'!$B$11,2,IF('Análisis de Riesgos'!G261='Tablas AR'!$B$12,3,"")))</f>
        <v/>
      </c>
      <c r="I261" s="26" t="str">
        <f t="shared" si="4"/>
        <v/>
      </c>
    </row>
    <row r="262" spans="2:9" x14ac:dyDescent="0.3">
      <c r="B262" s="27" t="str">
        <f>IFERROR(INDEX(Activos!$B$3:$C$16, MATCH(C262,Activos!$B$3:$B$16),2),"")</f>
        <v/>
      </c>
      <c r="C262" s="27"/>
      <c r="D262" s="27"/>
      <c r="E262" s="25"/>
      <c r="F262" s="26" t="str">
        <f>IF(E262='Tablas AR'!$B$4,1,IF('Análisis de Riesgos'!E262='Tablas AR'!$B$5,2,IF('Análisis de Riesgos'!E262='Tablas AR'!$B$6,3,"")))</f>
        <v/>
      </c>
      <c r="G262" s="25"/>
      <c r="H262" s="26" t="str">
        <f>IF(G262='Tablas AR'!$B$10,1,IF('Análisis de Riesgos'!G262='Tablas AR'!$B$11,2,IF('Análisis de Riesgos'!G262='Tablas AR'!$B$12,3,"")))</f>
        <v/>
      </c>
      <c r="I262" s="26" t="str">
        <f t="shared" si="4"/>
        <v/>
      </c>
    </row>
    <row r="263" spans="2:9" x14ac:dyDescent="0.3">
      <c r="B263" s="27" t="str">
        <f>IFERROR(INDEX(Activos!$B$3:$C$16, MATCH(C263,Activos!$B$3:$B$16),2),"")</f>
        <v/>
      </c>
      <c r="C263" s="27"/>
      <c r="D263" s="27"/>
      <c r="E263" s="25"/>
      <c r="F263" s="26" t="str">
        <f>IF(E263='Tablas AR'!$B$4,1,IF('Análisis de Riesgos'!E263='Tablas AR'!$B$5,2,IF('Análisis de Riesgos'!E263='Tablas AR'!$B$6,3,"")))</f>
        <v/>
      </c>
      <c r="G263" s="25"/>
      <c r="H263" s="26" t="str">
        <f>IF(G263='Tablas AR'!$B$10,1,IF('Análisis de Riesgos'!G263='Tablas AR'!$B$11,2,IF('Análisis de Riesgos'!G263='Tablas AR'!$B$12,3,"")))</f>
        <v/>
      </c>
      <c r="I263" s="26" t="str">
        <f t="shared" si="4"/>
        <v/>
      </c>
    </row>
    <row r="264" spans="2:9" x14ac:dyDescent="0.3">
      <c r="B264" s="27" t="str">
        <f>IFERROR(INDEX(Activos!$B$3:$C$16, MATCH(C264,Activos!$B$3:$B$16),2),"")</f>
        <v/>
      </c>
      <c r="C264" s="27"/>
      <c r="D264" s="27"/>
      <c r="E264" s="25"/>
      <c r="F264" s="26" t="str">
        <f>IF(E264='Tablas AR'!$B$4,1,IF('Análisis de Riesgos'!E264='Tablas AR'!$B$5,2,IF('Análisis de Riesgos'!E264='Tablas AR'!$B$6,3,"")))</f>
        <v/>
      </c>
      <c r="G264" s="25"/>
      <c r="H264" s="26" t="str">
        <f>IF(G264='Tablas AR'!$B$10,1,IF('Análisis de Riesgos'!G264='Tablas AR'!$B$11,2,IF('Análisis de Riesgos'!G264='Tablas AR'!$B$12,3,"")))</f>
        <v/>
      </c>
      <c r="I264" s="26" t="str">
        <f t="shared" si="4"/>
        <v/>
      </c>
    </row>
    <row r="265" spans="2:9" x14ac:dyDescent="0.3">
      <c r="B265" s="27" t="str">
        <f>IFERROR(INDEX(Activos!$B$3:$C$16, MATCH(C265,Activos!$B$3:$B$16),2),"")</f>
        <v/>
      </c>
      <c r="C265" s="27"/>
      <c r="D265" s="27"/>
      <c r="E265" s="25"/>
      <c r="F265" s="26" t="str">
        <f>IF(E265='Tablas AR'!$B$4,1,IF('Análisis de Riesgos'!E265='Tablas AR'!$B$5,2,IF('Análisis de Riesgos'!E265='Tablas AR'!$B$6,3,"")))</f>
        <v/>
      </c>
      <c r="G265" s="25"/>
      <c r="H265" s="26" t="str">
        <f>IF(G265='Tablas AR'!$B$10,1,IF('Análisis de Riesgos'!G265='Tablas AR'!$B$11,2,IF('Análisis de Riesgos'!G265='Tablas AR'!$B$12,3,"")))</f>
        <v/>
      </c>
      <c r="I265" s="26" t="str">
        <f t="shared" si="4"/>
        <v/>
      </c>
    </row>
    <row r="266" spans="2:9" x14ac:dyDescent="0.3">
      <c r="B266" s="27" t="str">
        <f>IFERROR(INDEX(Activos!$B$3:$C$16, MATCH(C266,Activos!$B$3:$B$16),2),"")</f>
        <v/>
      </c>
      <c r="C266" s="27"/>
      <c r="D266" s="27"/>
      <c r="E266" s="25"/>
      <c r="F266" s="26" t="str">
        <f>IF(E266='Tablas AR'!$B$4,1,IF('Análisis de Riesgos'!E266='Tablas AR'!$B$5,2,IF('Análisis de Riesgos'!E266='Tablas AR'!$B$6,3,"")))</f>
        <v/>
      </c>
      <c r="G266" s="25"/>
      <c r="H266" s="26" t="str">
        <f>IF(G266='Tablas AR'!$B$10,1,IF('Análisis de Riesgos'!G266='Tablas AR'!$B$11,2,IF('Análisis de Riesgos'!G266='Tablas AR'!$B$12,3,"")))</f>
        <v/>
      </c>
      <c r="I266" s="26" t="str">
        <f t="shared" si="4"/>
        <v/>
      </c>
    </row>
    <row r="267" spans="2:9" x14ac:dyDescent="0.3">
      <c r="B267" s="27" t="str">
        <f>IFERROR(INDEX(Activos!$B$3:$C$16, MATCH(C267,Activos!$B$3:$B$16),2),"")</f>
        <v/>
      </c>
      <c r="C267" s="27"/>
      <c r="D267" s="27"/>
      <c r="E267" s="25"/>
      <c r="F267" s="26" t="str">
        <f>IF(E267='Tablas AR'!$B$4,1,IF('Análisis de Riesgos'!E267='Tablas AR'!$B$5,2,IF('Análisis de Riesgos'!E267='Tablas AR'!$B$6,3,"")))</f>
        <v/>
      </c>
      <c r="G267" s="25"/>
      <c r="H267" s="26" t="str">
        <f>IF(G267='Tablas AR'!$B$10,1,IF('Análisis de Riesgos'!G267='Tablas AR'!$B$11,2,IF('Análisis de Riesgos'!G267='Tablas AR'!$B$12,3,"")))</f>
        <v/>
      </c>
      <c r="I267" s="26" t="str">
        <f t="shared" si="4"/>
        <v/>
      </c>
    </row>
    <row r="268" spans="2:9" x14ac:dyDescent="0.3">
      <c r="B268" s="27" t="str">
        <f>IFERROR(INDEX(Activos!$B$3:$C$16, MATCH(C268,Activos!$B$3:$B$16),2),"")</f>
        <v/>
      </c>
      <c r="C268" s="27"/>
      <c r="D268" s="27"/>
      <c r="E268" s="25"/>
      <c r="F268" s="26" t="str">
        <f>IF(E268='Tablas AR'!$B$4,1,IF('Análisis de Riesgos'!E268='Tablas AR'!$B$5,2,IF('Análisis de Riesgos'!E268='Tablas AR'!$B$6,3,"")))</f>
        <v/>
      </c>
      <c r="G268" s="25"/>
      <c r="H268" s="26" t="str">
        <f>IF(G268='Tablas AR'!$B$10,1,IF('Análisis de Riesgos'!G268='Tablas AR'!$B$11,2,IF('Análisis de Riesgos'!G268='Tablas AR'!$B$12,3,"")))</f>
        <v/>
      </c>
      <c r="I268" s="26" t="str">
        <f t="shared" si="4"/>
        <v/>
      </c>
    </row>
    <row r="269" spans="2:9" x14ac:dyDescent="0.3">
      <c r="B269" s="27" t="str">
        <f>IFERROR(INDEX(Activos!$B$3:$C$16, MATCH(C269,Activos!$B$3:$B$16),2),"")</f>
        <v/>
      </c>
      <c r="C269" s="27"/>
      <c r="D269" s="27"/>
      <c r="E269" s="25"/>
      <c r="F269" s="26" t="str">
        <f>IF(E269='Tablas AR'!$B$4,1,IF('Análisis de Riesgos'!E269='Tablas AR'!$B$5,2,IF('Análisis de Riesgos'!E269='Tablas AR'!$B$6,3,"")))</f>
        <v/>
      </c>
      <c r="G269" s="25"/>
      <c r="H269" s="26" t="str">
        <f>IF(G269='Tablas AR'!$B$10,1,IF('Análisis de Riesgos'!G269='Tablas AR'!$B$11,2,IF('Análisis de Riesgos'!G269='Tablas AR'!$B$12,3,"")))</f>
        <v/>
      </c>
      <c r="I269" s="26" t="str">
        <f t="shared" si="4"/>
        <v/>
      </c>
    </row>
    <row r="270" spans="2:9" x14ac:dyDescent="0.3">
      <c r="B270" s="27" t="str">
        <f>IFERROR(INDEX(Activos!$B$3:$C$16, MATCH(C270,Activos!$B$3:$B$16),2),"")</f>
        <v/>
      </c>
      <c r="C270" s="27"/>
      <c r="D270" s="27"/>
      <c r="E270" s="25"/>
      <c r="F270" s="26" t="str">
        <f>IF(E270='Tablas AR'!$B$4,1,IF('Análisis de Riesgos'!E270='Tablas AR'!$B$5,2,IF('Análisis de Riesgos'!E270='Tablas AR'!$B$6,3,"")))</f>
        <v/>
      </c>
      <c r="G270" s="25"/>
      <c r="H270" s="26" t="str">
        <f>IF(G270='Tablas AR'!$B$10,1,IF('Análisis de Riesgos'!G270='Tablas AR'!$B$11,2,IF('Análisis de Riesgos'!G270='Tablas AR'!$B$12,3,"")))</f>
        <v/>
      </c>
      <c r="I270" s="26" t="str">
        <f t="shared" si="4"/>
        <v/>
      </c>
    </row>
    <row r="271" spans="2:9" x14ac:dyDescent="0.3">
      <c r="B271" s="27" t="str">
        <f>IFERROR(INDEX(Activos!$B$3:$C$16, MATCH(C271,Activos!$B$3:$B$16),2),"")</f>
        <v/>
      </c>
      <c r="C271" s="27"/>
      <c r="D271" s="27"/>
      <c r="E271" s="25"/>
      <c r="F271" s="26" t="str">
        <f>IF(E271='Tablas AR'!$B$4,1,IF('Análisis de Riesgos'!E271='Tablas AR'!$B$5,2,IF('Análisis de Riesgos'!E271='Tablas AR'!$B$6,3,"")))</f>
        <v/>
      </c>
      <c r="G271" s="25"/>
      <c r="H271" s="26" t="str">
        <f>IF(G271='Tablas AR'!$B$10,1,IF('Análisis de Riesgos'!G271='Tablas AR'!$B$11,2,IF('Análisis de Riesgos'!G271='Tablas AR'!$B$12,3,"")))</f>
        <v/>
      </c>
      <c r="I271" s="26" t="str">
        <f t="shared" si="4"/>
        <v/>
      </c>
    </row>
    <row r="272" spans="2:9" x14ac:dyDescent="0.3">
      <c r="B272" s="27" t="str">
        <f>IFERROR(INDEX(Activos!$B$3:$C$16, MATCH(C272,Activos!$B$3:$B$16),2),"")</f>
        <v/>
      </c>
      <c r="C272" s="27"/>
      <c r="D272" s="27"/>
      <c r="E272" s="25"/>
      <c r="F272" s="26" t="str">
        <f>IF(E272='Tablas AR'!$B$4,1,IF('Análisis de Riesgos'!E272='Tablas AR'!$B$5,2,IF('Análisis de Riesgos'!E272='Tablas AR'!$B$6,3,"")))</f>
        <v/>
      </c>
      <c r="G272" s="25"/>
      <c r="H272" s="26" t="str">
        <f>IF(G272='Tablas AR'!$B$10,1,IF('Análisis de Riesgos'!G272='Tablas AR'!$B$11,2,IF('Análisis de Riesgos'!G272='Tablas AR'!$B$12,3,"")))</f>
        <v/>
      </c>
      <c r="I272" s="26" t="str">
        <f t="shared" si="4"/>
        <v/>
      </c>
    </row>
    <row r="273" spans="2:9" x14ac:dyDescent="0.3">
      <c r="B273" s="27" t="str">
        <f>IFERROR(INDEX(Activos!$B$3:$C$16, MATCH(C273,Activos!$B$3:$B$16),2),"")</f>
        <v/>
      </c>
      <c r="C273" s="27"/>
      <c r="D273" s="27"/>
      <c r="E273" s="25"/>
      <c r="F273" s="26" t="str">
        <f>IF(E273='Tablas AR'!$B$4,1,IF('Análisis de Riesgos'!E273='Tablas AR'!$B$5,2,IF('Análisis de Riesgos'!E273='Tablas AR'!$B$6,3,"")))</f>
        <v/>
      </c>
      <c r="G273" s="25"/>
      <c r="H273" s="26" t="str">
        <f>IF(G273='Tablas AR'!$B$10,1,IF('Análisis de Riesgos'!G273='Tablas AR'!$B$11,2,IF('Análisis de Riesgos'!G273='Tablas AR'!$B$12,3,"")))</f>
        <v/>
      </c>
      <c r="I273" s="26" t="str">
        <f t="shared" si="4"/>
        <v/>
      </c>
    </row>
    <row r="274" spans="2:9" x14ac:dyDescent="0.3">
      <c r="B274" s="27" t="str">
        <f>IFERROR(INDEX(Activos!$B$3:$C$16, MATCH(C274,Activos!$B$3:$B$16),2),"")</f>
        <v/>
      </c>
      <c r="C274" s="27"/>
      <c r="D274" s="27"/>
      <c r="E274" s="25"/>
      <c r="F274" s="26" t="str">
        <f>IF(E274='Tablas AR'!$B$4,1,IF('Análisis de Riesgos'!E274='Tablas AR'!$B$5,2,IF('Análisis de Riesgos'!E274='Tablas AR'!$B$6,3,"")))</f>
        <v/>
      </c>
      <c r="G274" s="25"/>
      <c r="H274" s="26" t="str">
        <f>IF(G274='Tablas AR'!$B$10,1,IF('Análisis de Riesgos'!G274='Tablas AR'!$B$11,2,IF('Análisis de Riesgos'!G274='Tablas AR'!$B$12,3,"")))</f>
        <v/>
      </c>
      <c r="I274" s="26" t="str">
        <f t="shared" si="4"/>
        <v/>
      </c>
    </row>
    <row r="275" spans="2:9" x14ac:dyDescent="0.3">
      <c r="B275" s="27" t="str">
        <f>IFERROR(INDEX(Activos!$B$3:$C$16, MATCH(C275,Activos!$B$3:$B$16),2),"")</f>
        <v/>
      </c>
      <c r="C275" s="27"/>
      <c r="D275" s="27"/>
      <c r="E275" s="25"/>
      <c r="F275" s="26" t="str">
        <f>IF(E275='Tablas AR'!$B$4,1,IF('Análisis de Riesgos'!E275='Tablas AR'!$B$5,2,IF('Análisis de Riesgos'!E275='Tablas AR'!$B$6,3,"")))</f>
        <v/>
      </c>
      <c r="G275" s="25"/>
      <c r="H275" s="26" t="str">
        <f>IF(G275='Tablas AR'!$B$10,1,IF('Análisis de Riesgos'!G275='Tablas AR'!$B$11,2,IF('Análisis de Riesgos'!G275='Tablas AR'!$B$12,3,"")))</f>
        <v/>
      </c>
      <c r="I275" s="26" t="str">
        <f t="shared" si="4"/>
        <v/>
      </c>
    </row>
    <row r="276" spans="2:9" x14ac:dyDescent="0.3">
      <c r="B276" s="27" t="str">
        <f>IFERROR(INDEX(Activos!$B$3:$C$16, MATCH(C276,Activos!$B$3:$B$16),2),"")</f>
        <v/>
      </c>
      <c r="C276" s="27"/>
      <c r="D276" s="27"/>
      <c r="E276" s="25"/>
      <c r="F276" s="26" t="str">
        <f>IF(E276='Tablas AR'!$B$4,1,IF('Análisis de Riesgos'!E276='Tablas AR'!$B$5,2,IF('Análisis de Riesgos'!E276='Tablas AR'!$B$6,3,"")))</f>
        <v/>
      </c>
      <c r="G276" s="25"/>
      <c r="H276" s="26" t="str">
        <f>IF(G276='Tablas AR'!$B$10,1,IF('Análisis de Riesgos'!G276='Tablas AR'!$B$11,2,IF('Análisis de Riesgos'!G276='Tablas AR'!$B$12,3,"")))</f>
        <v/>
      </c>
      <c r="I276" s="26" t="str">
        <f t="shared" si="4"/>
        <v/>
      </c>
    </row>
    <row r="277" spans="2:9" x14ac:dyDescent="0.3">
      <c r="B277" s="27" t="str">
        <f>IFERROR(INDEX(Activos!$B$3:$C$16, MATCH(C277,Activos!$B$3:$B$16),2),"")</f>
        <v/>
      </c>
      <c r="C277" s="27"/>
      <c r="D277" s="27"/>
      <c r="E277" s="25"/>
      <c r="F277" s="26" t="str">
        <f>IF(E277='Tablas AR'!$B$4,1,IF('Análisis de Riesgos'!E277='Tablas AR'!$B$5,2,IF('Análisis de Riesgos'!E277='Tablas AR'!$B$6,3,"")))</f>
        <v/>
      </c>
      <c r="G277" s="25"/>
      <c r="H277" s="26" t="str">
        <f>IF(G277='Tablas AR'!$B$10,1,IF('Análisis de Riesgos'!G277='Tablas AR'!$B$11,2,IF('Análisis de Riesgos'!G277='Tablas AR'!$B$12,3,"")))</f>
        <v/>
      </c>
      <c r="I277" s="26" t="str">
        <f t="shared" si="4"/>
        <v/>
      </c>
    </row>
    <row r="278" spans="2:9" x14ac:dyDescent="0.3">
      <c r="B278" s="27" t="str">
        <f>IFERROR(INDEX(Activos!$B$3:$C$16, MATCH(C278,Activos!$B$3:$B$16),2),"")</f>
        <v/>
      </c>
      <c r="C278" s="27"/>
      <c r="D278" s="27"/>
      <c r="E278" s="25"/>
      <c r="F278" s="26" t="str">
        <f>IF(E278='Tablas AR'!$B$4,1,IF('Análisis de Riesgos'!E278='Tablas AR'!$B$5,2,IF('Análisis de Riesgos'!E278='Tablas AR'!$B$6,3,"")))</f>
        <v/>
      </c>
      <c r="G278" s="25"/>
      <c r="H278" s="26" t="str">
        <f>IF(G278='Tablas AR'!$B$10,1,IF('Análisis de Riesgos'!G278='Tablas AR'!$B$11,2,IF('Análisis de Riesgos'!G278='Tablas AR'!$B$12,3,"")))</f>
        <v/>
      </c>
      <c r="I278" s="26" t="str">
        <f t="shared" si="4"/>
        <v/>
      </c>
    </row>
    <row r="279" spans="2:9" x14ac:dyDescent="0.3">
      <c r="B279" s="27" t="str">
        <f>IFERROR(INDEX(Activos!$B$3:$C$16, MATCH(C279,Activos!$B$3:$B$16),2),"")</f>
        <v/>
      </c>
      <c r="C279" s="27"/>
      <c r="D279" s="27"/>
      <c r="E279" s="25"/>
      <c r="F279" s="26" t="str">
        <f>IF(E279='Tablas AR'!$B$4,1,IF('Análisis de Riesgos'!E279='Tablas AR'!$B$5,2,IF('Análisis de Riesgos'!E279='Tablas AR'!$B$6,3,"")))</f>
        <v/>
      </c>
      <c r="G279" s="25"/>
      <c r="H279" s="26" t="str">
        <f>IF(G279='Tablas AR'!$B$10,1,IF('Análisis de Riesgos'!G279='Tablas AR'!$B$11,2,IF('Análisis de Riesgos'!G279='Tablas AR'!$B$12,3,"")))</f>
        <v/>
      </c>
      <c r="I279" s="26" t="str">
        <f t="shared" si="4"/>
        <v/>
      </c>
    </row>
    <row r="280" spans="2:9" x14ac:dyDescent="0.3">
      <c r="B280" s="27" t="str">
        <f>IFERROR(INDEX(Activos!$B$3:$C$16, MATCH(C280,Activos!$B$3:$B$16),2),"")</f>
        <v/>
      </c>
      <c r="C280" s="27"/>
      <c r="D280" s="27"/>
      <c r="E280" s="25"/>
      <c r="F280" s="26" t="str">
        <f>IF(E280='Tablas AR'!$B$4,1,IF('Análisis de Riesgos'!E280='Tablas AR'!$B$5,2,IF('Análisis de Riesgos'!E280='Tablas AR'!$B$6,3,"")))</f>
        <v/>
      </c>
      <c r="G280" s="25"/>
      <c r="H280" s="26" t="str">
        <f>IF(G280='Tablas AR'!$B$10,1,IF('Análisis de Riesgos'!G280='Tablas AR'!$B$11,2,IF('Análisis de Riesgos'!G280='Tablas AR'!$B$12,3,"")))</f>
        <v/>
      </c>
      <c r="I280" s="26" t="str">
        <f t="shared" si="4"/>
        <v/>
      </c>
    </row>
    <row r="281" spans="2:9" x14ac:dyDescent="0.3">
      <c r="B281" s="27" t="str">
        <f>IFERROR(INDEX(Activos!$B$3:$C$16, MATCH(C281,Activos!$B$3:$B$16),2),"")</f>
        <v/>
      </c>
      <c r="C281" s="27"/>
      <c r="D281" s="27"/>
      <c r="E281" s="25"/>
      <c r="F281" s="26" t="str">
        <f>IF(E281='Tablas AR'!$B$4,1,IF('Análisis de Riesgos'!E281='Tablas AR'!$B$5,2,IF('Análisis de Riesgos'!E281='Tablas AR'!$B$6,3,"")))</f>
        <v/>
      </c>
      <c r="G281" s="25"/>
      <c r="H281" s="26" t="str">
        <f>IF(G281='Tablas AR'!$B$10,1,IF('Análisis de Riesgos'!G281='Tablas AR'!$B$11,2,IF('Análisis de Riesgos'!G281='Tablas AR'!$B$12,3,"")))</f>
        <v/>
      </c>
      <c r="I281" s="26" t="str">
        <f t="shared" si="4"/>
        <v/>
      </c>
    </row>
    <row r="282" spans="2:9" x14ac:dyDescent="0.3">
      <c r="B282" s="27" t="str">
        <f>IFERROR(INDEX(Activos!$B$3:$C$16, MATCH(C282,Activos!$B$3:$B$16),2),"")</f>
        <v/>
      </c>
      <c r="C282" s="27"/>
      <c r="D282" s="27"/>
      <c r="E282" s="25"/>
      <c r="F282" s="26" t="str">
        <f>IF(E282='Tablas AR'!$B$4,1,IF('Análisis de Riesgos'!E282='Tablas AR'!$B$5,2,IF('Análisis de Riesgos'!E282='Tablas AR'!$B$6,3,"")))</f>
        <v/>
      </c>
      <c r="G282" s="25"/>
      <c r="H282" s="26" t="str">
        <f>IF(G282='Tablas AR'!$B$10,1,IF('Análisis de Riesgos'!G282='Tablas AR'!$B$11,2,IF('Análisis de Riesgos'!G282='Tablas AR'!$B$12,3,"")))</f>
        <v/>
      </c>
      <c r="I282" s="26" t="str">
        <f t="shared" si="4"/>
        <v/>
      </c>
    </row>
    <row r="283" spans="2:9" x14ac:dyDescent="0.3">
      <c r="B283" s="27" t="str">
        <f>IFERROR(INDEX(Activos!$B$3:$C$16, MATCH(C283,Activos!$B$3:$B$16),2),"")</f>
        <v/>
      </c>
      <c r="C283" s="27"/>
      <c r="D283" s="27"/>
      <c r="E283" s="25"/>
      <c r="F283" s="26" t="str">
        <f>IF(E283='Tablas AR'!$B$4,1,IF('Análisis de Riesgos'!E283='Tablas AR'!$B$5,2,IF('Análisis de Riesgos'!E283='Tablas AR'!$B$6,3,"")))</f>
        <v/>
      </c>
      <c r="G283" s="25"/>
      <c r="H283" s="26" t="str">
        <f>IF(G283='Tablas AR'!$B$10,1,IF('Análisis de Riesgos'!G283='Tablas AR'!$B$11,2,IF('Análisis de Riesgos'!G283='Tablas AR'!$B$12,3,"")))</f>
        <v/>
      </c>
      <c r="I283" s="26" t="str">
        <f t="shared" si="4"/>
        <v/>
      </c>
    </row>
    <row r="284" spans="2:9" x14ac:dyDescent="0.3">
      <c r="B284" s="27" t="str">
        <f>IFERROR(INDEX(Activos!$B$3:$C$16, MATCH(C284,Activos!$B$3:$B$16),2),"")</f>
        <v/>
      </c>
      <c r="C284" s="27"/>
      <c r="D284" s="27"/>
      <c r="E284" s="25"/>
      <c r="F284" s="26" t="str">
        <f>IF(E284='Tablas AR'!$B$4,1,IF('Análisis de Riesgos'!E284='Tablas AR'!$B$5,2,IF('Análisis de Riesgos'!E284='Tablas AR'!$B$6,3,"")))</f>
        <v/>
      </c>
      <c r="G284" s="25"/>
      <c r="H284" s="26" t="str">
        <f>IF(G284='Tablas AR'!$B$10,1,IF('Análisis de Riesgos'!G284='Tablas AR'!$B$11,2,IF('Análisis de Riesgos'!G284='Tablas AR'!$B$12,3,"")))</f>
        <v/>
      </c>
      <c r="I284" s="26" t="str">
        <f t="shared" si="4"/>
        <v/>
      </c>
    </row>
    <row r="285" spans="2:9" x14ac:dyDescent="0.3">
      <c r="B285" s="27" t="str">
        <f>IFERROR(INDEX(Activos!$B$3:$C$16, MATCH(C285,Activos!$B$3:$B$16),2),"")</f>
        <v/>
      </c>
      <c r="C285" s="27"/>
      <c r="D285" s="27"/>
      <c r="E285" s="25"/>
      <c r="F285" s="26" t="str">
        <f>IF(E285='Tablas AR'!$B$4,1,IF('Análisis de Riesgos'!E285='Tablas AR'!$B$5,2,IF('Análisis de Riesgos'!E285='Tablas AR'!$B$6,3,"")))</f>
        <v/>
      </c>
      <c r="G285" s="25"/>
      <c r="H285" s="26" t="str">
        <f>IF(G285='Tablas AR'!$B$10,1,IF('Análisis de Riesgos'!G285='Tablas AR'!$B$11,2,IF('Análisis de Riesgos'!G285='Tablas AR'!$B$12,3,"")))</f>
        <v/>
      </c>
      <c r="I285" s="26" t="str">
        <f t="shared" si="4"/>
        <v/>
      </c>
    </row>
    <row r="286" spans="2:9" x14ac:dyDescent="0.3">
      <c r="B286" s="27" t="str">
        <f>IFERROR(INDEX(Activos!$B$3:$C$16, MATCH(C286,Activos!$B$3:$B$16),2),"")</f>
        <v/>
      </c>
      <c r="C286" s="27"/>
      <c r="D286" s="27"/>
      <c r="E286" s="25"/>
      <c r="F286" s="26" t="str">
        <f>IF(E286='Tablas AR'!$B$4,1,IF('Análisis de Riesgos'!E286='Tablas AR'!$B$5,2,IF('Análisis de Riesgos'!E286='Tablas AR'!$B$6,3,"")))</f>
        <v/>
      </c>
      <c r="G286" s="25"/>
      <c r="H286" s="26" t="str">
        <f>IF(G286='Tablas AR'!$B$10,1,IF('Análisis de Riesgos'!G286='Tablas AR'!$B$11,2,IF('Análisis de Riesgos'!G286='Tablas AR'!$B$12,3,"")))</f>
        <v/>
      </c>
      <c r="I286" s="26" t="str">
        <f t="shared" si="4"/>
        <v/>
      </c>
    </row>
    <row r="287" spans="2:9" x14ac:dyDescent="0.3">
      <c r="B287" s="27" t="str">
        <f>IFERROR(INDEX(Activos!$B$3:$C$16, MATCH(C287,Activos!$B$3:$B$16),2),"")</f>
        <v/>
      </c>
      <c r="C287" s="27"/>
      <c r="D287" s="27"/>
      <c r="E287" s="25"/>
      <c r="F287" s="26" t="str">
        <f>IF(E287='Tablas AR'!$B$4,1,IF('Análisis de Riesgos'!E287='Tablas AR'!$B$5,2,IF('Análisis de Riesgos'!E287='Tablas AR'!$B$6,3,"")))</f>
        <v/>
      </c>
      <c r="G287" s="25"/>
      <c r="H287" s="26" t="str">
        <f>IF(G287='Tablas AR'!$B$10,1,IF('Análisis de Riesgos'!G287='Tablas AR'!$B$11,2,IF('Análisis de Riesgos'!G287='Tablas AR'!$B$12,3,"")))</f>
        <v/>
      </c>
      <c r="I287" s="26" t="str">
        <f t="shared" si="4"/>
        <v/>
      </c>
    </row>
    <row r="288" spans="2:9" x14ac:dyDescent="0.3">
      <c r="B288" s="27" t="str">
        <f>IFERROR(INDEX(Activos!$B$3:$C$16, MATCH(C288,Activos!$B$3:$B$16),2),"")</f>
        <v/>
      </c>
      <c r="C288" s="27"/>
      <c r="D288" s="27"/>
      <c r="E288" s="25"/>
      <c r="F288" s="26" t="str">
        <f>IF(E288='Tablas AR'!$B$4,1,IF('Análisis de Riesgos'!E288='Tablas AR'!$B$5,2,IF('Análisis de Riesgos'!E288='Tablas AR'!$B$6,3,"")))</f>
        <v/>
      </c>
      <c r="G288" s="25"/>
      <c r="H288" s="26" t="str">
        <f>IF(G288='Tablas AR'!$B$10,1,IF('Análisis de Riesgos'!G288='Tablas AR'!$B$11,2,IF('Análisis de Riesgos'!G288='Tablas AR'!$B$12,3,"")))</f>
        <v/>
      </c>
      <c r="I288" s="26" t="str">
        <f t="shared" si="4"/>
        <v/>
      </c>
    </row>
    <row r="289" spans="2:9" x14ac:dyDescent="0.3">
      <c r="B289" s="27" t="str">
        <f>IFERROR(INDEX(Activos!$B$3:$C$16, MATCH(C289,Activos!$B$3:$B$16),2),"")</f>
        <v/>
      </c>
      <c r="C289" s="27"/>
      <c r="D289" s="27"/>
      <c r="E289" s="25"/>
      <c r="F289" s="26" t="str">
        <f>IF(E289='Tablas AR'!$B$4,1,IF('Análisis de Riesgos'!E289='Tablas AR'!$B$5,2,IF('Análisis de Riesgos'!E289='Tablas AR'!$B$6,3,"")))</f>
        <v/>
      </c>
      <c r="G289" s="25"/>
      <c r="H289" s="26" t="str">
        <f>IF(G289='Tablas AR'!$B$10,1,IF('Análisis de Riesgos'!G289='Tablas AR'!$B$11,2,IF('Análisis de Riesgos'!G289='Tablas AR'!$B$12,3,"")))</f>
        <v/>
      </c>
      <c r="I289" s="26" t="str">
        <f t="shared" si="4"/>
        <v/>
      </c>
    </row>
    <row r="290" spans="2:9" x14ac:dyDescent="0.3">
      <c r="B290" s="27" t="str">
        <f>IFERROR(INDEX(Activos!$B$3:$C$16, MATCH(C290,Activos!$B$3:$B$16),2),"")</f>
        <v/>
      </c>
      <c r="C290" s="27"/>
      <c r="D290" s="27"/>
      <c r="E290" s="25"/>
      <c r="F290" s="26" t="str">
        <f>IF(E290='Tablas AR'!$B$4,1,IF('Análisis de Riesgos'!E290='Tablas AR'!$B$5,2,IF('Análisis de Riesgos'!E290='Tablas AR'!$B$6,3,"")))</f>
        <v/>
      </c>
      <c r="G290" s="25"/>
      <c r="H290" s="26" t="str">
        <f>IF(G290='Tablas AR'!$B$10,1,IF('Análisis de Riesgos'!G290='Tablas AR'!$B$11,2,IF('Análisis de Riesgos'!G290='Tablas AR'!$B$12,3,"")))</f>
        <v/>
      </c>
      <c r="I290" s="26" t="str">
        <f t="shared" si="4"/>
        <v/>
      </c>
    </row>
    <row r="291" spans="2:9" x14ac:dyDescent="0.3">
      <c r="B291" s="27" t="str">
        <f>IFERROR(INDEX(Activos!$B$3:$C$16, MATCH(C291,Activos!$B$3:$B$16),2),"")</f>
        <v/>
      </c>
      <c r="C291" s="27"/>
      <c r="D291" s="27"/>
      <c r="E291" s="25"/>
      <c r="F291" s="26" t="str">
        <f>IF(E291='Tablas AR'!$B$4,1,IF('Análisis de Riesgos'!E291='Tablas AR'!$B$5,2,IF('Análisis de Riesgos'!E291='Tablas AR'!$B$6,3,"")))</f>
        <v/>
      </c>
      <c r="G291" s="25"/>
      <c r="H291" s="26" t="str">
        <f>IF(G291='Tablas AR'!$B$10,1,IF('Análisis de Riesgos'!G291='Tablas AR'!$B$11,2,IF('Análisis de Riesgos'!G291='Tablas AR'!$B$12,3,"")))</f>
        <v/>
      </c>
      <c r="I291" s="26" t="str">
        <f t="shared" si="4"/>
        <v/>
      </c>
    </row>
    <row r="292" spans="2:9" x14ac:dyDescent="0.3">
      <c r="B292" s="27" t="str">
        <f>IFERROR(INDEX(Activos!$B$3:$C$16, MATCH(C292,Activos!$B$3:$B$16),2),"")</f>
        <v/>
      </c>
      <c r="C292" s="27"/>
      <c r="D292" s="27"/>
      <c r="E292" s="25"/>
      <c r="F292" s="26" t="str">
        <f>IF(E292='Tablas AR'!$B$4,1,IF('Análisis de Riesgos'!E292='Tablas AR'!$B$5,2,IF('Análisis de Riesgos'!E292='Tablas AR'!$B$6,3,"")))</f>
        <v/>
      </c>
      <c r="G292" s="25"/>
      <c r="H292" s="26" t="str">
        <f>IF(G292='Tablas AR'!$B$10,1,IF('Análisis de Riesgos'!G292='Tablas AR'!$B$11,2,IF('Análisis de Riesgos'!G292='Tablas AR'!$B$12,3,"")))</f>
        <v/>
      </c>
      <c r="I292" s="26" t="str">
        <f t="shared" si="4"/>
        <v/>
      </c>
    </row>
    <row r="293" spans="2:9" x14ac:dyDescent="0.3">
      <c r="B293" s="27" t="str">
        <f>IFERROR(INDEX(Activos!$B$3:$C$16, MATCH(C293,Activos!$B$3:$B$16),2),"")</f>
        <v/>
      </c>
      <c r="C293" s="27"/>
      <c r="D293" s="27"/>
      <c r="E293" s="25"/>
      <c r="F293" s="26" t="str">
        <f>IF(E293='Tablas AR'!$B$4,1,IF('Análisis de Riesgos'!E293='Tablas AR'!$B$5,2,IF('Análisis de Riesgos'!E293='Tablas AR'!$B$6,3,"")))</f>
        <v/>
      </c>
      <c r="G293" s="25"/>
      <c r="H293" s="26" t="str">
        <f>IF(G293='Tablas AR'!$B$10,1,IF('Análisis de Riesgos'!G293='Tablas AR'!$B$11,2,IF('Análisis de Riesgos'!G293='Tablas AR'!$B$12,3,"")))</f>
        <v/>
      </c>
      <c r="I293" s="26" t="str">
        <f t="shared" si="4"/>
        <v/>
      </c>
    </row>
    <row r="294" spans="2:9" x14ac:dyDescent="0.3">
      <c r="B294" s="27" t="str">
        <f>IFERROR(INDEX(Activos!$B$3:$C$16, MATCH(C294,Activos!$B$3:$B$16),2),"")</f>
        <v/>
      </c>
      <c r="C294" s="27"/>
      <c r="D294" s="27"/>
      <c r="E294" s="25"/>
      <c r="F294" s="26" t="str">
        <f>IF(E294='Tablas AR'!$B$4,1,IF('Análisis de Riesgos'!E294='Tablas AR'!$B$5,2,IF('Análisis de Riesgos'!E294='Tablas AR'!$B$6,3,"")))</f>
        <v/>
      </c>
      <c r="G294" s="25"/>
      <c r="H294" s="26" t="str">
        <f>IF(G294='Tablas AR'!$B$10,1,IF('Análisis de Riesgos'!G294='Tablas AR'!$B$11,2,IF('Análisis de Riesgos'!G294='Tablas AR'!$B$12,3,"")))</f>
        <v/>
      </c>
      <c r="I294" s="26" t="str">
        <f t="shared" si="4"/>
        <v/>
      </c>
    </row>
    <row r="295" spans="2:9" x14ac:dyDescent="0.3">
      <c r="B295" s="27" t="str">
        <f>IFERROR(INDEX(Activos!$B$3:$C$16, MATCH(C295,Activos!$B$3:$B$16),2),"")</f>
        <v/>
      </c>
      <c r="C295" s="27"/>
      <c r="D295" s="27"/>
      <c r="E295" s="25"/>
      <c r="F295" s="26" t="str">
        <f>IF(E295='Tablas AR'!$B$4,1,IF('Análisis de Riesgos'!E295='Tablas AR'!$B$5,2,IF('Análisis de Riesgos'!E295='Tablas AR'!$B$6,3,"")))</f>
        <v/>
      </c>
      <c r="G295" s="25"/>
      <c r="H295" s="26" t="str">
        <f>IF(G295='Tablas AR'!$B$10,1,IF('Análisis de Riesgos'!G295='Tablas AR'!$B$11,2,IF('Análisis de Riesgos'!G295='Tablas AR'!$B$12,3,"")))</f>
        <v/>
      </c>
      <c r="I295" s="26" t="str">
        <f t="shared" si="4"/>
        <v/>
      </c>
    </row>
    <row r="296" spans="2:9" x14ac:dyDescent="0.3">
      <c r="B296" s="27" t="str">
        <f>IFERROR(INDEX(Activos!$B$3:$C$16, MATCH(C296,Activos!$B$3:$B$16),2),"")</f>
        <v/>
      </c>
      <c r="C296" s="27"/>
      <c r="D296" s="27"/>
      <c r="E296" s="25"/>
      <c r="F296" s="26" t="str">
        <f>IF(E296='Tablas AR'!$B$4,1,IF('Análisis de Riesgos'!E296='Tablas AR'!$B$5,2,IF('Análisis de Riesgos'!E296='Tablas AR'!$B$6,3,"")))</f>
        <v/>
      </c>
      <c r="G296" s="25"/>
      <c r="H296" s="26" t="str">
        <f>IF(G296='Tablas AR'!$B$10,1,IF('Análisis de Riesgos'!G296='Tablas AR'!$B$11,2,IF('Análisis de Riesgos'!G296='Tablas AR'!$B$12,3,"")))</f>
        <v/>
      </c>
      <c r="I296" s="26" t="str">
        <f t="shared" si="4"/>
        <v/>
      </c>
    </row>
    <row r="297" spans="2:9" x14ac:dyDescent="0.3">
      <c r="B297" s="27" t="str">
        <f>IFERROR(INDEX(Activos!$B$3:$C$16, MATCH(C297,Activos!$B$3:$B$16),2),"")</f>
        <v/>
      </c>
      <c r="C297" s="27"/>
      <c r="D297" s="27"/>
      <c r="E297" s="25"/>
      <c r="F297" s="26" t="str">
        <f>IF(E297='Tablas AR'!$B$4,1,IF('Análisis de Riesgos'!E297='Tablas AR'!$B$5,2,IF('Análisis de Riesgos'!E297='Tablas AR'!$B$6,3,"")))</f>
        <v/>
      </c>
      <c r="G297" s="25"/>
      <c r="H297" s="26" t="str">
        <f>IF(G297='Tablas AR'!$B$10,1,IF('Análisis de Riesgos'!G297='Tablas AR'!$B$11,2,IF('Análisis de Riesgos'!G297='Tablas AR'!$B$12,3,"")))</f>
        <v/>
      </c>
      <c r="I297" s="26" t="str">
        <f t="shared" si="4"/>
        <v/>
      </c>
    </row>
    <row r="298" spans="2:9" x14ac:dyDescent="0.3">
      <c r="B298" s="27" t="str">
        <f>IFERROR(INDEX(Activos!$B$3:$C$16, MATCH(C298,Activos!$B$3:$B$16),2),"")</f>
        <v/>
      </c>
      <c r="C298" s="27"/>
      <c r="D298" s="27"/>
      <c r="E298" s="25"/>
      <c r="F298" s="26" t="str">
        <f>IF(E298='Tablas AR'!$B$4,1,IF('Análisis de Riesgos'!E298='Tablas AR'!$B$5,2,IF('Análisis de Riesgos'!E298='Tablas AR'!$B$6,3,"")))</f>
        <v/>
      </c>
      <c r="G298" s="25"/>
      <c r="H298" s="26" t="str">
        <f>IF(G298='Tablas AR'!$B$10,1,IF('Análisis de Riesgos'!G298='Tablas AR'!$B$11,2,IF('Análisis de Riesgos'!G298='Tablas AR'!$B$12,3,"")))</f>
        <v/>
      </c>
      <c r="I298" s="26" t="str">
        <f t="shared" si="4"/>
        <v/>
      </c>
    </row>
    <row r="299" spans="2:9" x14ac:dyDescent="0.3">
      <c r="B299" s="27" t="str">
        <f>IFERROR(INDEX(Activos!$B$3:$C$16, MATCH(C299,Activos!$B$3:$B$16),2),"")</f>
        <v/>
      </c>
      <c r="C299" s="27"/>
      <c r="D299" s="27"/>
      <c r="E299" s="25"/>
      <c r="F299" s="26" t="str">
        <f>IF(E299='Tablas AR'!$B$4,1,IF('Análisis de Riesgos'!E299='Tablas AR'!$B$5,2,IF('Análisis de Riesgos'!E299='Tablas AR'!$B$6,3,"")))</f>
        <v/>
      </c>
      <c r="G299" s="25"/>
      <c r="H299" s="26" t="str">
        <f>IF(G299='Tablas AR'!$B$10,1,IF('Análisis de Riesgos'!G299='Tablas AR'!$B$11,2,IF('Análisis de Riesgos'!G299='Tablas AR'!$B$12,3,"")))</f>
        <v/>
      </c>
      <c r="I299" s="26" t="str">
        <f t="shared" si="4"/>
        <v/>
      </c>
    </row>
    <row r="300" spans="2:9" x14ac:dyDescent="0.3">
      <c r="B300" s="27" t="str">
        <f>IFERROR(INDEX(Activos!$B$3:$C$16, MATCH(C300,Activos!$B$3:$B$16),2),"")</f>
        <v/>
      </c>
      <c r="C300" s="27"/>
      <c r="D300" s="27"/>
      <c r="E300" s="25"/>
      <c r="F300" s="26" t="str">
        <f>IF(E300='Tablas AR'!$B$4,1,IF('Análisis de Riesgos'!E300='Tablas AR'!$B$5,2,IF('Análisis de Riesgos'!E300='Tablas AR'!$B$6,3,"")))</f>
        <v/>
      </c>
      <c r="G300" s="25"/>
      <c r="H300" s="26" t="str">
        <f>IF(G300='Tablas AR'!$B$10,1,IF('Análisis de Riesgos'!G300='Tablas AR'!$B$11,2,IF('Análisis de Riesgos'!G300='Tablas AR'!$B$12,3,"")))</f>
        <v/>
      </c>
      <c r="I300" s="26" t="str">
        <f t="shared" si="4"/>
        <v/>
      </c>
    </row>
    <row r="301" spans="2:9" x14ac:dyDescent="0.3">
      <c r="B301" s="27" t="str">
        <f>IFERROR(INDEX(Activos!$B$3:$C$16, MATCH(C301,Activos!$B$3:$B$16),2),"")</f>
        <v/>
      </c>
      <c r="C301" s="27"/>
      <c r="D301" s="27"/>
      <c r="E301" s="25"/>
      <c r="F301" s="26" t="str">
        <f>IF(E301='Tablas AR'!$B$4,1,IF('Análisis de Riesgos'!E301='Tablas AR'!$B$5,2,IF('Análisis de Riesgos'!E301='Tablas AR'!$B$6,3,"")))</f>
        <v/>
      </c>
      <c r="G301" s="25"/>
      <c r="H301" s="26" t="str">
        <f>IF(G301='Tablas AR'!$B$10,1,IF('Análisis de Riesgos'!G301='Tablas AR'!$B$11,2,IF('Análisis de Riesgos'!G301='Tablas AR'!$B$12,3,"")))</f>
        <v/>
      </c>
      <c r="I301" s="26" t="str">
        <f t="shared" si="4"/>
        <v/>
      </c>
    </row>
    <row r="302" spans="2:9" x14ac:dyDescent="0.3">
      <c r="B302" s="27" t="str">
        <f>IFERROR(INDEX(Activos!$B$3:$C$16, MATCH(C302,Activos!$B$3:$B$16),2),"")</f>
        <v/>
      </c>
      <c r="C302" s="27"/>
      <c r="D302" s="27"/>
      <c r="E302" s="25"/>
      <c r="F302" s="26" t="str">
        <f>IF(E302='Tablas AR'!$B$4,1,IF('Análisis de Riesgos'!E302='Tablas AR'!$B$5,2,IF('Análisis de Riesgos'!E302='Tablas AR'!$B$6,3,"")))</f>
        <v/>
      </c>
      <c r="G302" s="25"/>
      <c r="H302" s="26" t="str">
        <f>IF(G302='Tablas AR'!$B$10,1,IF('Análisis de Riesgos'!G302='Tablas AR'!$B$11,2,IF('Análisis de Riesgos'!G302='Tablas AR'!$B$12,3,"")))</f>
        <v/>
      </c>
      <c r="I302" s="26" t="str">
        <f t="shared" si="4"/>
        <v/>
      </c>
    </row>
    <row r="303" spans="2:9" x14ac:dyDescent="0.3">
      <c r="B303" s="27" t="str">
        <f>IFERROR(INDEX(Activos!$B$3:$C$16, MATCH(C303,Activos!$B$3:$B$16),2),"")</f>
        <v/>
      </c>
      <c r="C303" s="27"/>
      <c r="D303" s="27"/>
      <c r="E303" s="25"/>
      <c r="F303" s="26" t="str">
        <f>IF(E303='Tablas AR'!$B$4,1,IF('Análisis de Riesgos'!E303='Tablas AR'!$B$5,2,IF('Análisis de Riesgos'!E303='Tablas AR'!$B$6,3,"")))</f>
        <v/>
      </c>
      <c r="G303" s="25"/>
      <c r="H303" s="26" t="str">
        <f>IF(G303='Tablas AR'!$B$10,1,IF('Análisis de Riesgos'!G303='Tablas AR'!$B$11,2,IF('Análisis de Riesgos'!G303='Tablas AR'!$B$12,3,"")))</f>
        <v/>
      </c>
      <c r="I303" s="26" t="str">
        <f t="shared" si="4"/>
        <v/>
      </c>
    </row>
    <row r="304" spans="2:9" x14ac:dyDescent="0.3">
      <c r="B304" s="27" t="str">
        <f>IFERROR(INDEX(Activos!$B$3:$C$16, MATCH(C304,Activos!$B$3:$B$16),2),"")</f>
        <v/>
      </c>
      <c r="C304" s="27"/>
      <c r="D304" s="27"/>
      <c r="E304" s="25"/>
      <c r="F304" s="26" t="str">
        <f>IF(E304='Tablas AR'!$B$4,1,IF('Análisis de Riesgos'!E304='Tablas AR'!$B$5,2,IF('Análisis de Riesgos'!E304='Tablas AR'!$B$6,3,"")))</f>
        <v/>
      </c>
      <c r="G304" s="25"/>
      <c r="H304" s="26" t="str">
        <f>IF(G304='Tablas AR'!$B$10,1,IF('Análisis de Riesgos'!G304='Tablas AR'!$B$11,2,IF('Análisis de Riesgos'!G304='Tablas AR'!$B$12,3,"")))</f>
        <v/>
      </c>
      <c r="I304" s="26" t="str">
        <f t="shared" si="4"/>
        <v/>
      </c>
    </row>
    <row r="305" spans="2:9" x14ac:dyDescent="0.3">
      <c r="B305" s="27" t="str">
        <f>IFERROR(INDEX(Activos!$B$3:$C$16, MATCH(C305,Activos!$B$3:$B$16),2),"")</f>
        <v/>
      </c>
      <c r="C305" s="27"/>
      <c r="D305" s="27"/>
      <c r="E305" s="25"/>
      <c r="F305" s="26" t="str">
        <f>IF(E305='Tablas AR'!$B$4,1,IF('Análisis de Riesgos'!E305='Tablas AR'!$B$5,2,IF('Análisis de Riesgos'!E305='Tablas AR'!$B$6,3,"")))</f>
        <v/>
      </c>
      <c r="G305" s="25"/>
      <c r="H305" s="26" t="str">
        <f>IF(G305='Tablas AR'!$B$10,1,IF('Análisis de Riesgos'!G305='Tablas AR'!$B$11,2,IF('Análisis de Riesgos'!G305='Tablas AR'!$B$12,3,"")))</f>
        <v/>
      </c>
      <c r="I305" s="26" t="str">
        <f t="shared" si="4"/>
        <v/>
      </c>
    </row>
    <row r="306" spans="2:9" x14ac:dyDescent="0.3">
      <c r="B306" s="27" t="str">
        <f>IFERROR(INDEX(Activos!$B$3:$C$16, MATCH(C306,Activos!$B$3:$B$16),2),"")</f>
        <v/>
      </c>
      <c r="C306" s="27"/>
      <c r="D306" s="27"/>
      <c r="E306" s="25"/>
      <c r="F306" s="26" t="str">
        <f>IF(E306='Tablas AR'!$B$4,1,IF('Análisis de Riesgos'!E306='Tablas AR'!$B$5,2,IF('Análisis de Riesgos'!E306='Tablas AR'!$B$6,3,"")))</f>
        <v/>
      </c>
      <c r="G306" s="25"/>
      <c r="H306" s="26" t="str">
        <f>IF(G306='Tablas AR'!$B$10,1,IF('Análisis de Riesgos'!G306='Tablas AR'!$B$11,2,IF('Análisis de Riesgos'!G306='Tablas AR'!$B$12,3,"")))</f>
        <v/>
      </c>
      <c r="I306" s="26" t="str">
        <f t="shared" si="4"/>
        <v/>
      </c>
    </row>
    <row r="307" spans="2:9" x14ac:dyDescent="0.3">
      <c r="B307" s="27" t="str">
        <f>IFERROR(INDEX(Activos!$B$3:$C$16, MATCH(C307,Activos!$B$3:$B$16),2),"")</f>
        <v/>
      </c>
      <c r="C307" s="27"/>
      <c r="D307" s="27"/>
      <c r="E307" s="25"/>
      <c r="F307" s="26" t="str">
        <f>IF(E307='Tablas AR'!$B$4,1,IF('Análisis de Riesgos'!E307='Tablas AR'!$B$5,2,IF('Análisis de Riesgos'!E307='Tablas AR'!$B$6,3,"")))</f>
        <v/>
      </c>
      <c r="G307" s="25"/>
      <c r="H307" s="26" t="str">
        <f>IF(G307='Tablas AR'!$B$10,1,IF('Análisis de Riesgos'!G307='Tablas AR'!$B$11,2,IF('Análisis de Riesgos'!G307='Tablas AR'!$B$12,3,"")))</f>
        <v/>
      </c>
      <c r="I307" s="26" t="str">
        <f t="shared" si="4"/>
        <v/>
      </c>
    </row>
    <row r="308" spans="2:9" x14ac:dyDescent="0.3">
      <c r="B308" s="27" t="str">
        <f>IFERROR(INDEX(Activos!$B$3:$C$16, MATCH(C308,Activos!$B$3:$B$16),2),"")</f>
        <v/>
      </c>
      <c r="C308" s="27"/>
      <c r="D308" s="27"/>
      <c r="E308" s="25"/>
      <c r="F308" s="26" t="str">
        <f>IF(E308='Tablas AR'!$B$4,1,IF('Análisis de Riesgos'!E308='Tablas AR'!$B$5,2,IF('Análisis de Riesgos'!E308='Tablas AR'!$B$6,3,"")))</f>
        <v/>
      </c>
      <c r="G308" s="25"/>
      <c r="H308" s="26" t="str">
        <f>IF(G308='Tablas AR'!$B$10,1,IF('Análisis de Riesgos'!G308='Tablas AR'!$B$11,2,IF('Análisis de Riesgos'!G308='Tablas AR'!$B$12,3,"")))</f>
        <v/>
      </c>
      <c r="I308" s="26" t="str">
        <f t="shared" si="4"/>
        <v/>
      </c>
    </row>
    <row r="309" spans="2:9" x14ac:dyDescent="0.3">
      <c r="B309" s="27" t="str">
        <f>IFERROR(INDEX(Activos!$B$3:$C$16, MATCH(C309,Activos!$B$3:$B$16),2),"")</f>
        <v/>
      </c>
      <c r="C309" s="27"/>
      <c r="D309" s="27"/>
      <c r="E309" s="25"/>
      <c r="F309" s="26" t="str">
        <f>IF(E309='Tablas AR'!$B$4,1,IF('Análisis de Riesgos'!E309='Tablas AR'!$B$5,2,IF('Análisis de Riesgos'!E309='Tablas AR'!$B$6,3,"")))</f>
        <v/>
      </c>
      <c r="G309" s="25"/>
      <c r="H309" s="26" t="str">
        <f>IF(G309='Tablas AR'!$B$10,1,IF('Análisis de Riesgos'!G309='Tablas AR'!$B$11,2,IF('Análisis de Riesgos'!G309='Tablas AR'!$B$12,3,"")))</f>
        <v/>
      </c>
      <c r="I309" s="26" t="str">
        <f t="shared" si="4"/>
        <v/>
      </c>
    </row>
    <row r="310" spans="2:9" x14ac:dyDescent="0.3">
      <c r="B310" s="27" t="str">
        <f>IFERROR(INDEX(Activos!$B$3:$C$16, MATCH(C310,Activos!$B$3:$B$16),2),"")</f>
        <v/>
      </c>
      <c r="C310" s="27"/>
      <c r="D310" s="27"/>
      <c r="E310" s="25"/>
      <c r="F310" s="26" t="str">
        <f>IF(E310='Tablas AR'!$B$4,1,IF('Análisis de Riesgos'!E310='Tablas AR'!$B$5,2,IF('Análisis de Riesgos'!E310='Tablas AR'!$B$6,3,"")))</f>
        <v/>
      </c>
      <c r="G310" s="25"/>
      <c r="H310" s="26" t="str">
        <f>IF(G310='Tablas AR'!$B$10,1,IF('Análisis de Riesgos'!G310='Tablas AR'!$B$11,2,IF('Análisis de Riesgos'!G310='Tablas AR'!$B$12,3,"")))</f>
        <v/>
      </c>
      <c r="I310" s="26" t="str">
        <f t="shared" si="4"/>
        <v/>
      </c>
    </row>
    <row r="311" spans="2:9" x14ac:dyDescent="0.3">
      <c r="B311" s="27" t="str">
        <f>IFERROR(INDEX(Activos!$B$3:$C$16, MATCH(C311,Activos!$B$3:$B$16),2),"")</f>
        <v/>
      </c>
      <c r="C311" s="27"/>
      <c r="D311" s="27"/>
      <c r="E311" s="25"/>
      <c r="F311" s="26" t="str">
        <f>IF(E311='Tablas AR'!$B$4,1,IF('Análisis de Riesgos'!E311='Tablas AR'!$B$5,2,IF('Análisis de Riesgos'!E311='Tablas AR'!$B$6,3,"")))</f>
        <v/>
      </c>
      <c r="G311" s="25"/>
      <c r="H311" s="26" t="str">
        <f>IF(G311='Tablas AR'!$B$10,1,IF('Análisis de Riesgos'!G311='Tablas AR'!$B$11,2,IF('Análisis de Riesgos'!G311='Tablas AR'!$B$12,3,"")))</f>
        <v/>
      </c>
      <c r="I311" s="26" t="str">
        <f t="shared" si="4"/>
        <v/>
      </c>
    </row>
    <row r="312" spans="2:9" x14ac:dyDescent="0.3">
      <c r="B312" s="27" t="str">
        <f>IFERROR(INDEX(Activos!$B$3:$C$16, MATCH(C312,Activos!$B$3:$B$16),2),"")</f>
        <v/>
      </c>
      <c r="C312" s="27"/>
      <c r="D312" s="27"/>
      <c r="E312" s="25"/>
      <c r="F312" s="26" t="str">
        <f>IF(E312='Tablas AR'!$B$4,1,IF('Análisis de Riesgos'!E312='Tablas AR'!$B$5,2,IF('Análisis de Riesgos'!E312='Tablas AR'!$B$6,3,"")))</f>
        <v/>
      </c>
      <c r="G312" s="25"/>
      <c r="H312" s="26" t="str">
        <f>IF(G312='Tablas AR'!$B$10,1,IF('Análisis de Riesgos'!G312='Tablas AR'!$B$11,2,IF('Análisis de Riesgos'!G312='Tablas AR'!$B$12,3,"")))</f>
        <v/>
      </c>
      <c r="I312" s="26" t="str">
        <f t="shared" si="4"/>
        <v/>
      </c>
    </row>
    <row r="313" spans="2:9" x14ac:dyDescent="0.3">
      <c r="B313" s="27" t="str">
        <f>IFERROR(INDEX(Activos!$B$3:$C$16, MATCH(C313,Activos!$B$3:$B$16),2),"")</f>
        <v/>
      </c>
      <c r="C313" s="27"/>
      <c r="D313" s="27"/>
      <c r="E313" s="25"/>
      <c r="F313" s="26" t="str">
        <f>IF(E313='Tablas AR'!$B$4,1,IF('Análisis de Riesgos'!E313='Tablas AR'!$B$5,2,IF('Análisis de Riesgos'!E313='Tablas AR'!$B$6,3,"")))</f>
        <v/>
      </c>
      <c r="G313" s="25"/>
      <c r="H313" s="26" t="str">
        <f>IF(G313='Tablas AR'!$B$10,1,IF('Análisis de Riesgos'!G313='Tablas AR'!$B$11,2,IF('Análisis de Riesgos'!G313='Tablas AR'!$B$12,3,"")))</f>
        <v/>
      </c>
      <c r="I313" s="26" t="str">
        <f t="shared" si="4"/>
        <v/>
      </c>
    </row>
    <row r="314" spans="2:9" x14ac:dyDescent="0.3">
      <c r="B314" s="27" t="str">
        <f>IFERROR(INDEX(Activos!$B$3:$C$16, MATCH(C314,Activos!$B$3:$B$16),2),"")</f>
        <v/>
      </c>
      <c r="C314" s="27"/>
      <c r="D314" s="27"/>
      <c r="E314" s="25"/>
      <c r="F314" s="26" t="str">
        <f>IF(E314='Tablas AR'!$B$4,1,IF('Análisis de Riesgos'!E314='Tablas AR'!$B$5,2,IF('Análisis de Riesgos'!E314='Tablas AR'!$B$6,3,"")))</f>
        <v/>
      </c>
      <c r="G314" s="25"/>
      <c r="H314" s="26" t="str">
        <f>IF(G314='Tablas AR'!$B$10,1,IF('Análisis de Riesgos'!G314='Tablas AR'!$B$11,2,IF('Análisis de Riesgos'!G314='Tablas AR'!$B$12,3,"")))</f>
        <v/>
      </c>
      <c r="I314" s="26" t="str">
        <f t="shared" si="4"/>
        <v/>
      </c>
    </row>
    <row r="315" spans="2:9" x14ac:dyDescent="0.3">
      <c r="B315" s="27" t="str">
        <f>IFERROR(INDEX(Activos!$B$3:$C$16, MATCH(C315,Activos!$B$3:$B$16),2),"")</f>
        <v/>
      </c>
      <c r="C315" s="27"/>
      <c r="D315" s="27"/>
      <c r="E315" s="25"/>
      <c r="F315" s="26" t="str">
        <f>IF(E315='Tablas AR'!$B$4,1,IF('Análisis de Riesgos'!E315='Tablas AR'!$B$5,2,IF('Análisis de Riesgos'!E315='Tablas AR'!$B$6,3,"")))</f>
        <v/>
      </c>
      <c r="G315" s="25"/>
      <c r="H315" s="26" t="str">
        <f>IF(G315='Tablas AR'!$B$10,1,IF('Análisis de Riesgos'!G315='Tablas AR'!$B$11,2,IF('Análisis de Riesgos'!G315='Tablas AR'!$B$12,3,"")))</f>
        <v/>
      </c>
      <c r="I315" s="26" t="str">
        <f t="shared" si="4"/>
        <v/>
      </c>
    </row>
    <row r="316" spans="2:9" x14ac:dyDescent="0.3">
      <c r="B316" s="27" t="str">
        <f>IFERROR(INDEX(Activos!$B$3:$C$16, MATCH(C316,Activos!$B$3:$B$16),2),"")</f>
        <v/>
      </c>
      <c r="C316" s="27"/>
      <c r="D316" s="27"/>
      <c r="E316" s="25"/>
      <c r="F316" s="26" t="str">
        <f>IF(E316='Tablas AR'!$B$4,1,IF('Análisis de Riesgos'!E316='Tablas AR'!$B$5,2,IF('Análisis de Riesgos'!E316='Tablas AR'!$B$6,3,"")))</f>
        <v/>
      </c>
      <c r="G316" s="25"/>
      <c r="H316" s="26" t="str">
        <f>IF(G316='Tablas AR'!$B$10,1,IF('Análisis de Riesgos'!G316='Tablas AR'!$B$11,2,IF('Análisis de Riesgos'!G316='Tablas AR'!$B$12,3,"")))</f>
        <v/>
      </c>
      <c r="I316" s="26" t="str">
        <f t="shared" si="4"/>
        <v/>
      </c>
    </row>
    <row r="317" spans="2:9" x14ac:dyDescent="0.3">
      <c r="B317" s="27" t="str">
        <f>IFERROR(INDEX(Activos!$B$3:$C$16, MATCH(C317,Activos!$B$3:$B$16),2),"")</f>
        <v/>
      </c>
      <c r="C317" s="27"/>
      <c r="D317" s="27"/>
      <c r="E317" s="25"/>
      <c r="F317" s="26" t="str">
        <f>IF(E317='Tablas AR'!$B$4,1,IF('Análisis de Riesgos'!E317='Tablas AR'!$B$5,2,IF('Análisis de Riesgos'!E317='Tablas AR'!$B$6,3,"")))</f>
        <v/>
      </c>
      <c r="G317" s="25"/>
      <c r="H317" s="26" t="str">
        <f>IF(G317='Tablas AR'!$B$10,1,IF('Análisis de Riesgos'!G317='Tablas AR'!$B$11,2,IF('Análisis de Riesgos'!G317='Tablas AR'!$B$12,3,"")))</f>
        <v/>
      </c>
      <c r="I317" s="26" t="str">
        <f t="shared" si="4"/>
        <v/>
      </c>
    </row>
    <row r="318" spans="2:9" x14ac:dyDescent="0.3">
      <c r="B318" s="27" t="str">
        <f>IFERROR(INDEX(Activos!$B$3:$C$16, MATCH(C318,Activos!$B$3:$B$16),2),"")</f>
        <v/>
      </c>
      <c r="C318" s="27"/>
      <c r="D318" s="27"/>
      <c r="E318" s="25"/>
      <c r="F318" s="26" t="str">
        <f>IF(E318='Tablas AR'!$B$4,1,IF('Análisis de Riesgos'!E318='Tablas AR'!$B$5,2,IF('Análisis de Riesgos'!E318='Tablas AR'!$B$6,3,"")))</f>
        <v/>
      </c>
      <c r="G318" s="25"/>
      <c r="H318" s="26" t="str">
        <f>IF(G318='Tablas AR'!$B$10,1,IF('Análisis de Riesgos'!G318='Tablas AR'!$B$11,2,IF('Análisis de Riesgos'!G318='Tablas AR'!$B$12,3,"")))</f>
        <v/>
      </c>
      <c r="I318" s="26" t="str">
        <f t="shared" si="4"/>
        <v/>
      </c>
    </row>
    <row r="319" spans="2:9" x14ac:dyDescent="0.3">
      <c r="B319" s="27" t="str">
        <f>IFERROR(INDEX(Activos!$B$3:$C$16, MATCH(C319,Activos!$B$3:$B$16),2),"")</f>
        <v/>
      </c>
      <c r="C319" s="27"/>
      <c r="D319" s="27"/>
      <c r="E319" s="25"/>
      <c r="F319" s="26" t="str">
        <f>IF(E319='Tablas AR'!$B$4,1,IF('Análisis de Riesgos'!E319='Tablas AR'!$B$5,2,IF('Análisis de Riesgos'!E319='Tablas AR'!$B$6,3,"")))</f>
        <v/>
      </c>
      <c r="G319" s="25"/>
      <c r="H319" s="26" t="str">
        <f>IF(G319='Tablas AR'!$B$10,1,IF('Análisis de Riesgos'!G319='Tablas AR'!$B$11,2,IF('Análisis de Riesgos'!G319='Tablas AR'!$B$12,3,"")))</f>
        <v/>
      </c>
      <c r="I319" s="26" t="str">
        <f t="shared" si="4"/>
        <v/>
      </c>
    </row>
    <row r="320" spans="2:9" x14ac:dyDescent="0.3">
      <c r="B320" s="27" t="str">
        <f>IFERROR(INDEX(Activos!$B$3:$C$16, MATCH(C320,Activos!$B$3:$B$16),2),"")</f>
        <v/>
      </c>
      <c r="C320" s="27"/>
      <c r="D320" s="27"/>
      <c r="E320" s="25"/>
      <c r="F320" s="26" t="str">
        <f>IF(E320='Tablas AR'!$B$4,1,IF('Análisis de Riesgos'!E320='Tablas AR'!$B$5,2,IF('Análisis de Riesgos'!E320='Tablas AR'!$B$6,3,"")))</f>
        <v/>
      </c>
      <c r="G320" s="25"/>
      <c r="H320" s="26" t="str">
        <f>IF(G320='Tablas AR'!$B$10,1,IF('Análisis de Riesgos'!G320='Tablas AR'!$B$11,2,IF('Análisis de Riesgos'!G320='Tablas AR'!$B$12,3,"")))</f>
        <v/>
      </c>
      <c r="I320" s="26" t="str">
        <f t="shared" si="4"/>
        <v/>
      </c>
    </row>
    <row r="321" spans="2:9" x14ac:dyDescent="0.3">
      <c r="B321" s="27" t="str">
        <f>IFERROR(INDEX(Activos!$B$3:$C$16, MATCH(C321,Activos!$B$3:$B$16),2),"")</f>
        <v/>
      </c>
      <c r="C321" s="27"/>
      <c r="D321" s="27"/>
      <c r="E321" s="25"/>
      <c r="F321" s="26" t="str">
        <f>IF(E321='Tablas AR'!$B$4,1,IF('Análisis de Riesgos'!E321='Tablas AR'!$B$5,2,IF('Análisis de Riesgos'!E321='Tablas AR'!$B$6,3,"")))</f>
        <v/>
      </c>
      <c r="G321" s="25"/>
      <c r="H321" s="26" t="str">
        <f>IF(G321='Tablas AR'!$B$10,1,IF('Análisis de Riesgos'!G321='Tablas AR'!$B$11,2,IF('Análisis de Riesgos'!G321='Tablas AR'!$B$12,3,"")))</f>
        <v/>
      </c>
      <c r="I321" s="26" t="str">
        <f t="shared" si="4"/>
        <v/>
      </c>
    </row>
    <row r="322" spans="2:9" x14ac:dyDescent="0.3">
      <c r="B322" s="27" t="str">
        <f>IFERROR(INDEX(Activos!$B$3:$C$16, MATCH(C322,Activos!$B$3:$B$16),2),"")</f>
        <v/>
      </c>
      <c r="C322" s="27"/>
      <c r="D322" s="27"/>
      <c r="E322" s="25"/>
      <c r="F322" s="26" t="str">
        <f>IF(E322='Tablas AR'!$B$4,1,IF('Análisis de Riesgos'!E322='Tablas AR'!$B$5,2,IF('Análisis de Riesgos'!E322='Tablas AR'!$B$6,3,"")))</f>
        <v/>
      </c>
      <c r="G322" s="25"/>
      <c r="H322" s="26" t="str">
        <f>IF(G322='Tablas AR'!$B$10,1,IF('Análisis de Riesgos'!G322='Tablas AR'!$B$11,2,IF('Análisis de Riesgos'!G322='Tablas AR'!$B$12,3,"")))</f>
        <v/>
      </c>
      <c r="I322" s="26" t="str">
        <f t="shared" si="4"/>
        <v/>
      </c>
    </row>
    <row r="323" spans="2:9" x14ac:dyDescent="0.3">
      <c r="B323" s="27" t="str">
        <f>IFERROR(INDEX(Activos!$B$3:$C$16, MATCH(C323,Activos!$B$3:$B$16),2),"")</f>
        <v/>
      </c>
      <c r="C323" s="27"/>
      <c r="D323" s="27"/>
      <c r="E323" s="25"/>
      <c r="F323" s="26" t="str">
        <f>IF(E323='Tablas AR'!$B$4,1,IF('Análisis de Riesgos'!E323='Tablas AR'!$B$5,2,IF('Análisis de Riesgos'!E323='Tablas AR'!$B$6,3,"")))</f>
        <v/>
      </c>
      <c r="G323" s="25"/>
      <c r="H323" s="26" t="str">
        <f>IF(G323='Tablas AR'!$B$10,1,IF('Análisis de Riesgos'!G323='Tablas AR'!$B$11,2,IF('Análisis de Riesgos'!G323='Tablas AR'!$B$12,3,"")))</f>
        <v/>
      </c>
      <c r="I323" s="26" t="str">
        <f t="shared" si="4"/>
        <v/>
      </c>
    </row>
    <row r="324" spans="2:9" x14ac:dyDescent="0.3">
      <c r="B324" s="27" t="str">
        <f>IFERROR(INDEX(Activos!$B$3:$C$16, MATCH(C324,Activos!$B$3:$B$16),2),"")</f>
        <v/>
      </c>
      <c r="C324" s="27"/>
      <c r="D324" s="27"/>
      <c r="E324" s="25"/>
      <c r="F324" s="26" t="str">
        <f>IF(E324='Tablas AR'!$B$4,1,IF('Análisis de Riesgos'!E324='Tablas AR'!$B$5,2,IF('Análisis de Riesgos'!E324='Tablas AR'!$B$6,3,"")))</f>
        <v/>
      </c>
      <c r="G324" s="25"/>
      <c r="H324" s="26" t="str">
        <f>IF(G324='Tablas AR'!$B$10,1,IF('Análisis de Riesgos'!G324='Tablas AR'!$B$11,2,IF('Análisis de Riesgos'!G324='Tablas AR'!$B$12,3,"")))</f>
        <v/>
      </c>
      <c r="I324" s="26" t="str">
        <f t="shared" ref="I324:I387" si="5" xml:space="preserve"> IFERROR(F324*H324,"")</f>
        <v/>
      </c>
    </row>
    <row r="325" spans="2:9" x14ac:dyDescent="0.3">
      <c r="B325" s="27" t="str">
        <f>IFERROR(INDEX(Activos!$B$3:$C$16, MATCH(C325,Activos!$B$3:$B$16),2),"")</f>
        <v/>
      </c>
      <c r="C325" s="27"/>
      <c r="D325" s="27"/>
      <c r="E325" s="25"/>
      <c r="F325" s="26" t="str">
        <f>IF(E325='Tablas AR'!$B$4,1,IF('Análisis de Riesgos'!E325='Tablas AR'!$B$5,2,IF('Análisis de Riesgos'!E325='Tablas AR'!$B$6,3,"")))</f>
        <v/>
      </c>
      <c r="G325" s="25"/>
      <c r="H325" s="26" t="str">
        <f>IF(G325='Tablas AR'!$B$10,1,IF('Análisis de Riesgos'!G325='Tablas AR'!$B$11,2,IF('Análisis de Riesgos'!G325='Tablas AR'!$B$12,3,"")))</f>
        <v/>
      </c>
      <c r="I325" s="26" t="str">
        <f t="shared" si="5"/>
        <v/>
      </c>
    </row>
    <row r="326" spans="2:9" x14ac:dyDescent="0.3">
      <c r="B326" s="27" t="str">
        <f>IFERROR(INDEX(Activos!$B$3:$C$16, MATCH(C326,Activos!$B$3:$B$16),2),"")</f>
        <v/>
      </c>
      <c r="C326" s="27"/>
      <c r="D326" s="27"/>
      <c r="E326" s="25"/>
      <c r="F326" s="26" t="str">
        <f>IF(E326='Tablas AR'!$B$4,1,IF('Análisis de Riesgos'!E326='Tablas AR'!$B$5,2,IF('Análisis de Riesgos'!E326='Tablas AR'!$B$6,3,"")))</f>
        <v/>
      </c>
      <c r="G326" s="25"/>
      <c r="H326" s="26" t="str">
        <f>IF(G326='Tablas AR'!$B$10,1,IF('Análisis de Riesgos'!G326='Tablas AR'!$B$11,2,IF('Análisis de Riesgos'!G326='Tablas AR'!$B$12,3,"")))</f>
        <v/>
      </c>
      <c r="I326" s="26" t="str">
        <f t="shared" si="5"/>
        <v/>
      </c>
    </row>
    <row r="327" spans="2:9" x14ac:dyDescent="0.3">
      <c r="B327" s="27" t="str">
        <f>IFERROR(INDEX(Activos!$B$3:$C$16, MATCH(C327,Activos!$B$3:$B$16),2),"")</f>
        <v/>
      </c>
      <c r="C327" s="27"/>
      <c r="D327" s="27"/>
      <c r="E327" s="25"/>
      <c r="F327" s="26" t="str">
        <f>IF(E327='Tablas AR'!$B$4,1,IF('Análisis de Riesgos'!E327='Tablas AR'!$B$5,2,IF('Análisis de Riesgos'!E327='Tablas AR'!$B$6,3,"")))</f>
        <v/>
      </c>
      <c r="G327" s="25"/>
      <c r="H327" s="26" t="str">
        <f>IF(G327='Tablas AR'!$B$10,1,IF('Análisis de Riesgos'!G327='Tablas AR'!$B$11,2,IF('Análisis de Riesgos'!G327='Tablas AR'!$B$12,3,"")))</f>
        <v/>
      </c>
      <c r="I327" s="26" t="str">
        <f t="shared" si="5"/>
        <v/>
      </c>
    </row>
    <row r="328" spans="2:9" x14ac:dyDescent="0.3">
      <c r="B328" s="27" t="str">
        <f>IFERROR(INDEX(Activos!$B$3:$C$16, MATCH(C328,Activos!$B$3:$B$16),2),"")</f>
        <v/>
      </c>
      <c r="C328" s="27"/>
      <c r="D328" s="27"/>
      <c r="E328" s="25"/>
      <c r="F328" s="26" t="str">
        <f>IF(E328='Tablas AR'!$B$4,1,IF('Análisis de Riesgos'!E328='Tablas AR'!$B$5,2,IF('Análisis de Riesgos'!E328='Tablas AR'!$B$6,3,"")))</f>
        <v/>
      </c>
      <c r="G328" s="25"/>
      <c r="H328" s="26" t="str">
        <f>IF(G328='Tablas AR'!$B$10,1,IF('Análisis de Riesgos'!G328='Tablas AR'!$B$11,2,IF('Análisis de Riesgos'!G328='Tablas AR'!$B$12,3,"")))</f>
        <v/>
      </c>
      <c r="I328" s="26" t="str">
        <f t="shared" si="5"/>
        <v/>
      </c>
    </row>
    <row r="329" spans="2:9" x14ac:dyDescent="0.3">
      <c r="B329" s="27" t="str">
        <f>IFERROR(INDEX(Activos!$B$3:$C$16, MATCH(C329,Activos!$B$3:$B$16),2),"")</f>
        <v/>
      </c>
      <c r="C329" s="27"/>
      <c r="D329" s="27"/>
      <c r="E329" s="25"/>
      <c r="F329" s="26" t="str">
        <f>IF(E329='Tablas AR'!$B$4,1,IF('Análisis de Riesgos'!E329='Tablas AR'!$B$5,2,IF('Análisis de Riesgos'!E329='Tablas AR'!$B$6,3,"")))</f>
        <v/>
      </c>
      <c r="G329" s="25"/>
      <c r="H329" s="26" t="str">
        <f>IF(G329='Tablas AR'!$B$10,1,IF('Análisis de Riesgos'!G329='Tablas AR'!$B$11,2,IF('Análisis de Riesgos'!G329='Tablas AR'!$B$12,3,"")))</f>
        <v/>
      </c>
      <c r="I329" s="26" t="str">
        <f t="shared" si="5"/>
        <v/>
      </c>
    </row>
    <row r="330" spans="2:9" x14ac:dyDescent="0.3">
      <c r="B330" s="27" t="str">
        <f>IFERROR(INDEX(Activos!$B$3:$C$16, MATCH(C330,Activos!$B$3:$B$16),2),"")</f>
        <v/>
      </c>
      <c r="C330" s="27"/>
      <c r="D330" s="27"/>
      <c r="E330" s="25"/>
      <c r="F330" s="26" t="str">
        <f>IF(E330='Tablas AR'!$B$4,1,IF('Análisis de Riesgos'!E330='Tablas AR'!$B$5,2,IF('Análisis de Riesgos'!E330='Tablas AR'!$B$6,3,"")))</f>
        <v/>
      </c>
      <c r="G330" s="25"/>
      <c r="H330" s="26" t="str">
        <f>IF(G330='Tablas AR'!$B$10,1,IF('Análisis de Riesgos'!G330='Tablas AR'!$B$11,2,IF('Análisis de Riesgos'!G330='Tablas AR'!$B$12,3,"")))</f>
        <v/>
      </c>
      <c r="I330" s="26" t="str">
        <f t="shared" si="5"/>
        <v/>
      </c>
    </row>
    <row r="331" spans="2:9" x14ac:dyDescent="0.3">
      <c r="B331" s="27" t="str">
        <f>IFERROR(INDEX(Activos!$B$3:$C$16, MATCH(C331,Activos!$B$3:$B$16),2),"")</f>
        <v/>
      </c>
      <c r="C331" s="27"/>
      <c r="D331" s="27"/>
      <c r="E331" s="25"/>
      <c r="F331" s="26" t="str">
        <f>IF(E331='Tablas AR'!$B$4,1,IF('Análisis de Riesgos'!E331='Tablas AR'!$B$5,2,IF('Análisis de Riesgos'!E331='Tablas AR'!$B$6,3,"")))</f>
        <v/>
      </c>
      <c r="G331" s="25"/>
      <c r="H331" s="26" t="str">
        <f>IF(G331='Tablas AR'!$B$10,1,IF('Análisis de Riesgos'!G331='Tablas AR'!$B$11,2,IF('Análisis de Riesgos'!G331='Tablas AR'!$B$12,3,"")))</f>
        <v/>
      </c>
      <c r="I331" s="26" t="str">
        <f t="shared" si="5"/>
        <v/>
      </c>
    </row>
    <row r="332" spans="2:9" x14ac:dyDescent="0.3">
      <c r="B332" s="27" t="str">
        <f>IFERROR(INDEX(Activos!$B$3:$C$16, MATCH(C332,Activos!$B$3:$B$16),2),"")</f>
        <v/>
      </c>
      <c r="C332" s="27"/>
      <c r="D332" s="27"/>
      <c r="E332" s="25"/>
      <c r="F332" s="26" t="str">
        <f>IF(E332='Tablas AR'!$B$4,1,IF('Análisis de Riesgos'!E332='Tablas AR'!$B$5,2,IF('Análisis de Riesgos'!E332='Tablas AR'!$B$6,3,"")))</f>
        <v/>
      </c>
      <c r="G332" s="25"/>
      <c r="H332" s="26" t="str">
        <f>IF(G332='Tablas AR'!$B$10,1,IF('Análisis de Riesgos'!G332='Tablas AR'!$B$11,2,IF('Análisis de Riesgos'!G332='Tablas AR'!$B$12,3,"")))</f>
        <v/>
      </c>
      <c r="I332" s="26" t="str">
        <f t="shared" si="5"/>
        <v/>
      </c>
    </row>
    <row r="333" spans="2:9" x14ac:dyDescent="0.3">
      <c r="B333" s="27" t="str">
        <f>IFERROR(INDEX(Activos!$B$3:$C$16, MATCH(C333,Activos!$B$3:$B$16),2),"")</f>
        <v/>
      </c>
      <c r="C333" s="27"/>
      <c r="D333" s="27"/>
      <c r="E333" s="25"/>
      <c r="F333" s="26" t="str">
        <f>IF(E333='Tablas AR'!$B$4,1,IF('Análisis de Riesgos'!E333='Tablas AR'!$B$5,2,IF('Análisis de Riesgos'!E333='Tablas AR'!$B$6,3,"")))</f>
        <v/>
      </c>
      <c r="G333" s="25"/>
      <c r="H333" s="26" t="str">
        <f>IF(G333='Tablas AR'!$B$10,1,IF('Análisis de Riesgos'!G333='Tablas AR'!$B$11,2,IF('Análisis de Riesgos'!G333='Tablas AR'!$B$12,3,"")))</f>
        <v/>
      </c>
      <c r="I333" s="26" t="str">
        <f t="shared" si="5"/>
        <v/>
      </c>
    </row>
    <row r="334" spans="2:9" x14ac:dyDescent="0.3">
      <c r="B334" s="27" t="str">
        <f>IFERROR(INDEX(Activos!$B$3:$C$16, MATCH(C334,Activos!$B$3:$B$16),2),"")</f>
        <v/>
      </c>
      <c r="C334" s="27"/>
      <c r="D334" s="27"/>
      <c r="E334" s="25"/>
      <c r="F334" s="26" t="str">
        <f>IF(E334='Tablas AR'!$B$4,1,IF('Análisis de Riesgos'!E334='Tablas AR'!$B$5,2,IF('Análisis de Riesgos'!E334='Tablas AR'!$B$6,3,"")))</f>
        <v/>
      </c>
      <c r="G334" s="25"/>
      <c r="H334" s="26" t="str">
        <f>IF(G334='Tablas AR'!$B$10,1,IF('Análisis de Riesgos'!G334='Tablas AR'!$B$11,2,IF('Análisis de Riesgos'!G334='Tablas AR'!$B$12,3,"")))</f>
        <v/>
      </c>
      <c r="I334" s="26" t="str">
        <f t="shared" si="5"/>
        <v/>
      </c>
    </row>
    <row r="335" spans="2:9" x14ac:dyDescent="0.3">
      <c r="B335" s="27" t="str">
        <f>IFERROR(INDEX(Activos!$B$3:$C$16, MATCH(C335,Activos!$B$3:$B$16),2),"")</f>
        <v/>
      </c>
      <c r="C335" s="27"/>
      <c r="D335" s="27"/>
      <c r="E335" s="25"/>
      <c r="F335" s="26" t="str">
        <f>IF(E335='Tablas AR'!$B$4,1,IF('Análisis de Riesgos'!E335='Tablas AR'!$B$5,2,IF('Análisis de Riesgos'!E335='Tablas AR'!$B$6,3,"")))</f>
        <v/>
      </c>
      <c r="G335" s="25"/>
      <c r="H335" s="26" t="str">
        <f>IF(G335='Tablas AR'!$B$10,1,IF('Análisis de Riesgos'!G335='Tablas AR'!$B$11,2,IF('Análisis de Riesgos'!G335='Tablas AR'!$B$12,3,"")))</f>
        <v/>
      </c>
      <c r="I335" s="26" t="str">
        <f t="shared" si="5"/>
        <v/>
      </c>
    </row>
    <row r="336" spans="2:9" x14ac:dyDescent="0.3">
      <c r="B336" s="27" t="str">
        <f>IFERROR(INDEX(Activos!$B$3:$C$16, MATCH(C336,Activos!$B$3:$B$16),2),"")</f>
        <v/>
      </c>
      <c r="C336" s="27"/>
      <c r="D336" s="27"/>
      <c r="E336" s="25"/>
      <c r="F336" s="26" t="str">
        <f>IF(E336='Tablas AR'!$B$4,1,IF('Análisis de Riesgos'!E336='Tablas AR'!$B$5,2,IF('Análisis de Riesgos'!E336='Tablas AR'!$B$6,3,"")))</f>
        <v/>
      </c>
      <c r="G336" s="25"/>
      <c r="H336" s="26" t="str">
        <f>IF(G336='Tablas AR'!$B$10,1,IF('Análisis de Riesgos'!G336='Tablas AR'!$B$11,2,IF('Análisis de Riesgos'!G336='Tablas AR'!$B$12,3,"")))</f>
        <v/>
      </c>
      <c r="I336" s="26" t="str">
        <f t="shared" si="5"/>
        <v/>
      </c>
    </row>
    <row r="337" spans="2:9" x14ac:dyDescent="0.3">
      <c r="B337" s="27" t="str">
        <f>IFERROR(INDEX(Activos!$B$3:$C$16, MATCH(C337,Activos!$B$3:$B$16),2),"")</f>
        <v/>
      </c>
      <c r="C337" s="27"/>
      <c r="D337" s="27"/>
      <c r="E337" s="25"/>
      <c r="F337" s="26" t="str">
        <f>IF(E337='Tablas AR'!$B$4,1,IF('Análisis de Riesgos'!E337='Tablas AR'!$B$5,2,IF('Análisis de Riesgos'!E337='Tablas AR'!$B$6,3,"")))</f>
        <v/>
      </c>
      <c r="G337" s="25"/>
      <c r="H337" s="26" t="str">
        <f>IF(G337='Tablas AR'!$B$10,1,IF('Análisis de Riesgos'!G337='Tablas AR'!$B$11,2,IF('Análisis de Riesgos'!G337='Tablas AR'!$B$12,3,"")))</f>
        <v/>
      </c>
      <c r="I337" s="26" t="str">
        <f t="shared" si="5"/>
        <v/>
      </c>
    </row>
    <row r="338" spans="2:9" x14ac:dyDescent="0.3">
      <c r="B338" s="27" t="str">
        <f>IFERROR(INDEX(Activos!$B$3:$C$16, MATCH(C338,Activos!$B$3:$B$16),2),"")</f>
        <v/>
      </c>
      <c r="C338" s="27"/>
      <c r="D338" s="27"/>
      <c r="E338" s="25"/>
      <c r="F338" s="26" t="str">
        <f>IF(E338='Tablas AR'!$B$4,1,IF('Análisis de Riesgos'!E338='Tablas AR'!$B$5,2,IF('Análisis de Riesgos'!E338='Tablas AR'!$B$6,3,"")))</f>
        <v/>
      </c>
      <c r="G338" s="25"/>
      <c r="H338" s="26" t="str">
        <f>IF(G338='Tablas AR'!$B$10,1,IF('Análisis de Riesgos'!G338='Tablas AR'!$B$11,2,IF('Análisis de Riesgos'!G338='Tablas AR'!$B$12,3,"")))</f>
        <v/>
      </c>
      <c r="I338" s="26" t="str">
        <f t="shared" si="5"/>
        <v/>
      </c>
    </row>
    <row r="339" spans="2:9" x14ac:dyDescent="0.3">
      <c r="B339" s="27" t="str">
        <f>IFERROR(INDEX(Activos!$B$3:$C$16, MATCH(C339,Activos!$B$3:$B$16),2),"")</f>
        <v/>
      </c>
      <c r="C339" s="27"/>
      <c r="D339" s="27"/>
      <c r="E339" s="25"/>
      <c r="F339" s="26" t="str">
        <f>IF(E339='Tablas AR'!$B$4,1,IF('Análisis de Riesgos'!E339='Tablas AR'!$B$5,2,IF('Análisis de Riesgos'!E339='Tablas AR'!$B$6,3,"")))</f>
        <v/>
      </c>
      <c r="G339" s="25"/>
      <c r="H339" s="26" t="str">
        <f>IF(G339='Tablas AR'!$B$10,1,IF('Análisis de Riesgos'!G339='Tablas AR'!$B$11,2,IF('Análisis de Riesgos'!G339='Tablas AR'!$B$12,3,"")))</f>
        <v/>
      </c>
      <c r="I339" s="26" t="str">
        <f t="shared" si="5"/>
        <v/>
      </c>
    </row>
    <row r="340" spans="2:9" x14ac:dyDescent="0.3">
      <c r="B340" s="27" t="str">
        <f>IFERROR(INDEX(Activos!$B$3:$C$16, MATCH(C340,Activos!$B$3:$B$16),2),"")</f>
        <v/>
      </c>
      <c r="C340" s="27"/>
      <c r="D340" s="27"/>
      <c r="E340" s="25"/>
      <c r="F340" s="26" t="str">
        <f>IF(E340='Tablas AR'!$B$4,1,IF('Análisis de Riesgos'!E340='Tablas AR'!$B$5,2,IF('Análisis de Riesgos'!E340='Tablas AR'!$B$6,3,"")))</f>
        <v/>
      </c>
      <c r="G340" s="25"/>
      <c r="H340" s="26" t="str">
        <f>IF(G340='Tablas AR'!$B$10,1,IF('Análisis de Riesgos'!G340='Tablas AR'!$B$11,2,IF('Análisis de Riesgos'!G340='Tablas AR'!$B$12,3,"")))</f>
        <v/>
      </c>
      <c r="I340" s="26" t="str">
        <f t="shared" si="5"/>
        <v/>
      </c>
    </row>
    <row r="341" spans="2:9" x14ac:dyDescent="0.3">
      <c r="B341" s="27" t="str">
        <f>IFERROR(INDEX(Activos!$B$3:$C$16, MATCH(C341,Activos!$B$3:$B$16),2),"")</f>
        <v/>
      </c>
      <c r="C341" s="27"/>
      <c r="D341" s="27"/>
      <c r="E341" s="25"/>
      <c r="F341" s="26" t="str">
        <f>IF(E341='Tablas AR'!$B$4,1,IF('Análisis de Riesgos'!E341='Tablas AR'!$B$5,2,IF('Análisis de Riesgos'!E341='Tablas AR'!$B$6,3,"")))</f>
        <v/>
      </c>
      <c r="G341" s="25"/>
      <c r="H341" s="26" t="str">
        <f>IF(G341='Tablas AR'!$B$10,1,IF('Análisis de Riesgos'!G341='Tablas AR'!$B$11,2,IF('Análisis de Riesgos'!G341='Tablas AR'!$B$12,3,"")))</f>
        <v/>
      </c>
      <c r="I341" s="26" t="str">
        <f t="shared" si="5"/>
        <v/>
      </c>
    </row>
    <row r="342" spans="2:9" x14ac:dyDescent="0.3">
      <c r="B342" s="27" t="str">
        <f>IFERROR(INDEX(Activos!$B$3:$C$16, MATCH(C342,Activos!$B$3:$B$16),2),"")</f>
        <v/>
      </c>
      <c r="C342" s="27"/>
      <c r="D342" s="27"/>
      <c r="E342" s="25"/>
      <c r="F342" s="26" t="str">
        <f>IF(E342='Tablas AR'!$B$4,1,IF('Análisis de Riesgos'!E342='Tablas AR'!$B$5,2,IF('Análisis de Riesgos'!E342='Tablas AR'!$B$6,3,"")))</f>
        <v/>
      </c>
      <c r="G342" s="25"/>
      <c r="H342" s="26" t="str">
        <f>IF(G342='Tablas AR'!$B$10,1,IF('Análisis de Riesgos'!G342='Tablas AR'!$B$11,2,IF('Análisis de Riesgos'!G342='Tablas AR'!$B$12,3,"")))</f>
        <v/>
      </c>
      <c r="I342" s="26" t="str">
        <f t="shared" si="5"/>
        <v/>
      </c>
    </row>
    <row r="343" spans="2:9" x14ac:dyDescent="0.3">
      <c r="B343" s="27" t="str">
        <f>IFERROR(INDEX(Activos!$B$3:$C$16, MATCH(C343,Activos!$B$3:$B$16),2),"")</f>
        <v/>
      </c>
      <c r="C343" s="27"/>
      <c r="D343" s="27"/>
      <c r="E343" s="25"/>
      <c r="F343" s="26" t="str">
        <f>IF(E343='Tablas AR'!$B$4,1,IF('Análisis de Riesgos'!E343='Tablas AR'!$B$5,2,IF('Análisis de Riesgos'!E343='Tablas AR'!$B$6,3,"")))</f>
        <v/>
      </c>
      <c r="G343" s="25"/>
      <c r="H343" s="26" t="str">
        <f>IF(G343='Tablas AR'!$B$10,1,IF('Análisis de Riesgos'!G343='Tablas AR'!$B$11,2,IF('Análisis de Riesgos'!G343='Tablas AR'!$B$12,3,"")))</f>
        <v/>
      </c>
      <c r="I343" s="26" t="str">
        <f t="shared" si="5"/>
        <v/>
      </c>
    </row>
    <row r="344" spans="2:9" x14ac:dyDescent="0.3">
      <c r="B344" s="27" t="str">
        <f>IFERROR(INDEX(Activos!$B$3:$C$16, MATCH(C344,Activos!$B$3:$B$16),2),"")</f>
        <v/>
      </c>
      <c r="C344" s="27"/>
      <c r="D344" s="27"/>
      <c r="E344" s="25"/>
      <c r="F344" s="26" t="str">
        <f>IF(E344='Tablas AR'!$B$4,1,IF('Análisis de Riesgos'!E344='Tablas AR'!$B$5,2,IF('Análisis de Riesgos'!E344='Tablas AR'!$B$6,3,"")))</f>
        <v/>
      </c>
      <c r="G344" s="25"/>
      <c r="H344" s="26" t="str">
        <f>IF(G344='Tablas AR'!$B$10,1,IF('Análisis de Riesgos'!G344='Tablas AR'!$B$11,2,IF('Análisis de Riesgos'!G344='Tablas AR'!$B$12,3,"")))</f>
        <v/>
      </c>
      <c r="I344" s="26" t="str">
        <f t="shared" si="5"/>
        <v/>
      </c>
    </row>
    <row r="345" spans="2:9" x14ac:dyDescent="0.3">
      <c r="B345" s="27" t="str">
        <f>IFERROR(INDEX(Activos!$B$3:$C$16, MATCH(C345,Activos!$B$3:$B$16),2),"")</f>
        <v/>
      </c>
      <c r="C345" s="27"/>
      <c r="D345" s="27"/>
      <c r="E345" s="25"/>
      <c r="F345" s="26" t="str">
        <f>IF(E345='Tablas AR'!$B$4,1,IF('Análisis de Riesgos'!E345='Tablas AR'!$B$5,2,IF('Análisis de Riesgos'!E345='Tablas AR'!$B$6,3,"")))</f>
        <v/>
      </c>
      <c r="G345" s="25"/>
      <c r="H345" s="26" t="str">
        <f>IF(G345='Tablas AR'!$B$10,1,IF('Análisis de Riesgos'!G345='Tablas AR'!$B$11,2,IF('Análisis de Riesgos'!G345='Tablas AR'!$B$12,3,"")))</f>
        <v/>
      </c>
      <c r="I345" s="26" t="str">
        <f t="shared" si="5"/>
        <v/>
      </c>
    </row>
    <row r="346" spans="2:9" x14ac:dyDescent="0.3">
      <c r="B346" s="27" t="str">
        <f>IFERROR(INDEX(Activos!$B$3:$C$16, MATCH(C346,Activos!$B$3:$B$16),2),"")</f>
        <v/>
      </c>
      <c r="C346" s="27"/>
      <c r="D346" s="27"/>
      <c r="E346" s="25"/>
      <c r="F346" s="26" t="str">
        <f>IF(E346='Tablas AR'!$B$4,1,IF('Análisis de Riesgos'!E346='Tablas AR'!$B$5,2,IF('Análisis de Riesgos'!E346='Tablas AR'!$B$6,3,"")))</f>
        <v/>
      </c>
      <c r="G346" s="25"/>
      <c r="H346" s="26" t="str">
        <f>IF(G346='Tablas AR'!$B$10,1,IF('Análisis de Riesgos'!G346='Tablas AR'!$B$11,2,IF('Análisis de Riesgos'!G346='Tablas AR'!$B$12,3,"")))</f>
        <v/>
      </c>
      <c r="I346" s="26" t="str">
        <f t="shared" si="5"/>
        <v/>
      </c>
    </row>
    <row r="347" spans="2:9" x14ac:dyDescent="0.3">
      <c r="B347" s="27" t="str">
        <f>IFERROR(INDEX(Activos!$B$3:$C$16, MATCH(C347,Activos!$B$3:$B$16),2),"")</f>
        <v/>
      </c>
      <c r="C347" s="27"/>
      <c r="D347" s="27"/>
      <c r="E347" s="25"/>
      <c r="F347" s="26" t="str">
        <f>IF(E347='Tablas AR'!$B$4,1,IF('Análisis de Riesgos'!E347='Tablas AR'!$B$5,2,IF('Análisis de Riesgos'!E347='Tablas AR'!$B$6,3,"")))</f>
        <v/>
      </c>
      <c r="G347" s="25"/>
      <c r="H347" s="26" t="str">
        <f>IF(G347='Tablas AR'!$B$10,1,IF('Análisis de Riesgos'!G347='Tablas AR'!$B$11,2,IF('Análisis de Riesgos'!G347='Tablas AR'!$B$12,3,"")))</f>
        <v/>
      </c>
      <c r="I347" s="26" t="str">
        <f t="shared" si="5"/>
        <v/>
      </c>
    </row>
    <row r="348" spans="2:9" x14ac:dyDescent="0.3">
      <c r="B348" s="27" t="str">
        <f>IFERROR(INDEX(Activos!$B$3:$C$16, MATCH(C348,Activos!$B$3:$B$16),2),"")</f>
        <v/>
      </c>
      <c r="C348" s="27"/>
      <c r="D348" s="27"/>
      <c r="E348" s="25"/>
      <c r="F348" s="26" t="str">
        <f>IF(E348='Tablas AR'!$B$4,1,IF('Análisis de Riesgos'!E348='Tablas AR'!$B$5,2,IF('Análisis de Riesgos'!E348='Tablas AR'!$B$6,3,"")))</f>
        <v/>
      </c>
      <c r="G348" s="25"/>
      <c r="H348" s="26" t="str">
        <f>IF(G348='Tablas AR'!$B$10,1,IF('Análisis de Riesgos'!G348='Tablas AR'!$B$11,2,IF('Análisis de Riesgos'!G348='Tablas AR'!$B$12,3,"")))</f>
        <v/>
      </c>
      <c r="I348" s="26" t="str">
        <f t="shared" si="5"/>
        <v/>
      </c>
    </row>
    <row r="349" spans="2:9" x14ac:dyDescent="0.3">
      <c r="B349" s="27" t="str">
        <f>IFERROR(INDEX(Activos!$B$3:$C$16, MATCH(C349,Activos!$B$3:$B$16),2),"")</f>
        <v/>
      </c>
      <c r="C349" s="27"/>
      <c r="D349" s="27"/>
      <c r="E349" s="25"/>
      <c r="F349" s="26" t="str">
        <f>IF(E349='Tablas AR'!$B$4,1,IF('Análisis de Riesgos'!E349='Tablas AR'!$B$5,2,IF('Análisis de Riesgos'!E349='Tablas AR'!$B$6,3,"")))</f>
        <v/>
      </c>
      <c r="G349" s="25"/>
      <c r="H349" s="26" t="str">
        <f>IF(G349='Tablas AR'!$B$10,1,IF('Análisis de Riesgos'!G349='Tablas AR'!$B$11,2,IF('Análisis de Riesgos'!G349='Tablas AR'!$B$12,3,"")))</f>
        <v/>
      </c>
      <c r="I349" s="26" t="str">
        <f t="shared" si="5"/>
        <v/>
      </c>
    </row>
    <row r="350" spans="2:9" x14ac:dyDescent="0.3">
      <c r="B350" s="27" t="str">
        <f>IFERROR(INDEX(Activos!$B$3:$C$16, MATCH(C350,Activos!$B$3:$B$16),2),"")</f>
        <v/>
      </c>
      <c r="C350" s="27"/>
      <c r="D350" s="27"/>
      <c r="E350" s="25"/>
      <c r="F350" s="26" t="str">
        <f>IF(E350='Tablas AR'!$B$4,1,IF('Análisis de Riesgos'!E350='Tablas AR'!$B$5,2,IF('Análisis de Riesgos'!E350='Tablas AR'!$B$6,3,"")))</f>
        <v/>
      </c>
      <c r="G350" s="25"/>
      <c r="H350" s="26" t="str">
        <f>IF(G350='Tablas AR'!$B$10,1,IF('Análisis de Riesgos'!G350='Tablas AR'!$B$11,2,IF('Análisis de Riesgos'!G350='Tablas AR'!$B$12,3,"")))</f>
        <v/>
      </c>
      <c r="I350" s="26" t="str">
        <f t="shared" si="5"/>
        <v/>
      </c>
    </row>
    <row r="351" spans="2:9" x14ac:dyDescent="0.3">
      <c r="B351" s="27" t="str">
        <f>IFERROR(INDEX(Activos!$B$3:$C$16, MATCH(C351,Activos!$B$3:$B$16),2),"")</f>
        <v/>
      </c>
      <c r="C351" s="27"/>
      <c r="D351" s="27"/>
      <c r="E351" s="25"/>
      <c r="F351" s="26" t="str">
        <f>IF(E351='Tablas AR'!$B$4,1,IF('Análisis de Riesgos'!E351='Tablas AR'!$B$5,2,IF('Análisis de Riesgos'!E351='Tablas AR'!$B$6,3,"")))</f>
        <v/>
      </c>
      <c r="G351" s="25"/>
      <c r="H351" s="26" t="str">
        <f>IF(G351='Tablas AR'!$B$10,1,IF('Análisis de Riesgos'!G351='Tablas AR'!$B$11,2,IF('Análisis de Riesgos'!G351='Tablas AR'!$B$12,3,"")))</f>
        <v/>
      </c>
      <c r="I351" s="26" t="str">
        <f t="shared" si="5"/>
        <v/>
      </c>
    </row>
    <row r="352" spans="2:9" x14ac:dyDescent="0.3">
      <c r="B352" s="27" t="str">
        <f>IFERROR(INDEX(Activos!$B$3:$C$16, MATCH(C352,Activos!$B$3:$B$16),2),"")</f>
        <v/>
      </c>
      <c r="C352" s="27"/>
      <c r="D352" s="27"/>
      <c r="E352" s="25"/>
      <c r="F352" s="26" t="str">
        <f>IF(E352='Tablas AR'!$B$4,1,IF('Análisis de Riesgos'!E352='Tablas AR'!$B$5,2,IF('Análisis de Riesgos'!E352='Tablas AR'!$B$6,3,"")))</f>
        <v/>
      </c>
      <c r="G352" s="25"/>
      <c r="H352" s="26" t="str">
        <f>IF(G352='Tablas AR'!$B$10,1,IF('Análisis de Riesgos'!G352='Tablas AR'!$B$11,2,IF('Análisis de Riesgos'!G352='Tablas AR'!$B$12,3,"")))</f>
        <v/>
      </c>
      <c r="I352" s="26" t="str">
        <f t="shared" si="5"/>
        <v/>
      </c>
    </row>
    <row r="353" spans="2:9" x14ac:dyDescent="0.3">
      <c r="B353" s="27" t="str">
        <f>IFERROR(INDEX(Activos!$B$3:$C$16, MATCH(C353,Activos!$B$3:$B$16),2),"")</f>
        <v/>
      </c>
      <c r="C353" s="27"/>
      <c r="D353" s="27"/>
      <c r="E353" s="25"/>
      <c r="F353" s="26" t="str">
        <f>IF(E353='Tablas AR'!$B$4,1,IF('Análisis de Riesgos'!E353='Tablas AR'!$B$5,2,IF('Análisis de Riesgos'!E353='Tablas AR'!$B$6,3,"")))</f>
        <v/>
      </c>
      <c r="G353" s="25"/>
      <c r="H353" s="26" t="str">
        <f>IF(G353='Tablas AR'!$B$10,1,IF('Análisis de Riesgos'!G353='Tablas AR'!$B$11,2,IF('Análisis de Riesgos'!G353='Tablas AR'!$B$12,3,"")))</f>
        <v/>
      </c>
      <c r="I353" s="26" t="str">
        <f t="shared" si="5"/>
        <v/>
      </c>
    </row>
    <row r="354" spans="2:9" x14ac:dyDescent="0.3">
      <c r="B354" s="27" t="str">
        <f>IFERROR(INDEX(Activos!$B$3:$C$16, MATCH(C354,Activos!$B$3:$B$16),2),"")</f>
        <v/>
      </c>
      <c r="C354" s="27"/>
      <c r="D354" s="27"/>
      <c r="E354" s="25"/>
      <c r="F354" s="26" t="str">
        <f>IF(E354='Tablas AR'!$B$4,1,IF('Análisis de Riesgos'!E354='Tablas AR'!$B$5,2,IF('Análisis de Riesgos'!E354='Tablas AR'!$B$6,3,"")))</f>
        <v/>
      </c>
      <c r="G354" s="25"/>
      <c r="H354" s="26" t="str">
        <f>IF(G354='Tablas AR'!$B$10,1,IF('Análisis de Riesgos'!G354='Tablas AR'!$B$11,2,IF('Análisis de Riesgos'!G354='Tablas AR'!$B$12,3,"")))</f>
        <v/>
      </c>
      <c r="I354" s="26" t="str">
        <f t="shared" si="5"/>
        <v/>
      </c>
    </row>
    <row r="355" spans="2:9" x14ac:dyDescent="0.3">
      <c r="B355" s="27" t="str">
        <f>IFERROR(INDEX(Activos!$B$3:$C$16, MATCH(C355,Activos!$B$3:$B$16),2),"")</f>
        <v/>
      </c>
      <c r="C355" s="27"/>
      <c r="D355" s="27"/>
      <c r="E355" s="25"/>
      <c r="F355" s="26" t="str">
        <f>IF(E355='Tablas AR'!$B$4,1,IF('Análisis de Riesgos'!E355='Tablas AR'!$B$5,2,IF('Análisis de Riesgos'!E355='Tablas AR'!$B$6,3,"")))</f>
        <v/>
      </c>
      <c r="G355" s="25"/>
      <c r="H355" s="26" t="str">
        <f>IF(G355='Tablas AR'!$B$10,1,IF('Análisis de Riesgos'!G355='Tablas AR'!$B$11,2,IF('Análisis de Riesgos'!G355='Tablas AR'!$B$12,3,"")))</f>
        <v/>
      </c>
      <c r="I355" s="26" t="str">
        <f t="shared" si="5"/>
        <v/>
      </c>
    </row>
    <row r="356" spans="2:9" x14ac:dyDescent="0.3">
      <c r="B356" s="27" t="str">
        <f>IFERROR(INDEX(Activos!$B$3:$C$16, MATCH(C356,Activos!$B$3:$B$16),2),"")</f>
        <v/>
      </c>
      <c r="C356" s="27"/>
      <c r="D356" s="27"/>
      <c r="E356" s="25"/>
      <c r="F356" s="26" t="str">
        <f>IF(E356='Tablas AR'!$B$4,1,IF('Análisis de Riesgos'!E356='Tablas AR'!$B$5,2,IF('Análisis de Riesgos'!E356='Tablas AR'!$B$6,3,"")))</f>
        <v/>
      </c>
      <c r="G356" s="25"/>
      <c r="H356" s="26" t="str">
        <f>IF(G356='Tablas AR'!$B$10,1,IF('Análisis de Riesgos'!G356='Tablas AR'!$B$11,2,IF('Análisis de Riesgos'!G356='Tablas AR'!$B$12,3,"")))</f>
        <v/>
      </c>
      <c r="I356" s="26" t="str">
        <f t="shared" si="5"/>
        <v/>
      </c>
    </row>
    <row r="357" spans="2:9" x14ac:dyDescent="0.3">
      <c r="B357" s="27" t="str">
        <f>IFERROR(INDEX(Activos!$B$3:$C$16, MATCH(C357,Activos!$B$3:$B$16),2),"")</f>
        <v/>
      </c>
      <c r="C357" s="27"/>
      <c r="D357" s="27"/>
      <c r="E357" s="25"/>
      <c r="F357" s="26" t="str">
        <f>IF(E357='Tablas AR'!$B$4,1,IF('Análisis de Riesgos'!E357='Tablas AR'!$B$5,2,IF('Análisis de Riesgos'!E357='Tablas AR'!$B$6,3,"")))</f>
        <v/>
      </c>
      <c r="G357" s="25"/>
      <c r="H357" s="26" t="str">
        <f>IF(G357='Tablas AR'!$B$10,1,IF('Análisis de Riesgos'!G357='Tablas AR'!$B$11,2,IF('Análisis de Riesgos'!G357='Tablas AR'!$B$12,3,"")))</f>
        <v/>
      </c>
      <c r="I357" s="26" t="str">
        <f t="shared" si="5"/>
        <v/>
      </c>
    </row>
    <row r="358" spans="2:9" x14ac:dyDescent="0.3">
      <c r="B358" s="27" t="str">
        <f>IFERROR(INDEX(Activos!$B$3:$C$16, MATCH(C358,Activos!$B$3:$B$16),2),"")</f>
        <v/>
      </c>
      <c r="C358" s="27"/>
      <c r="D358" s="27"/>
      <c r="E358" s="25"/>
      <c r="F358" s="26" t="str">
        <f>IF(E358='Tablas AR'!$B$4,1,IF('Análisis de Riesgos'!E358='Tablas AR'!$B$5,2,IF('Análisis de Riesgos'!E358='Tablas AR'!$B$6,3,"")))</f>
        <v/>
      </c>
      <c r="G358" s="25"/>
      <c r="H358" s="26" t="str">
        <f>IF(G358='Tablas AR'!$B$10,1,IF('Análisis de Riesgos'!G358='Tablas AR'!$B$11,2,IF('Análisis de Riesgos'!G358='Tablas AR'!$B$12,3,"")))</f>
        <v/>
      </c>
      <c r="I358" s="26" t="str">
        <f t="shared" si="5"/>
        <v/>
      </c>
    </row>
    <row r="359" spans="2:9" x14ac:dyDescent="0.3">
      <c r="B359" s="27" t="str">
        <f>IFERROR(INDEX(Activos!$B$3:$C$16, MATCH(C359,Activos!$B$3:$B$16),2),"")</f>
        <v/>
      </c>
      <c r="C359" s="27"/>
      <c r="D359" s="27"/>
      <c r="E359" s="25"/>
      <c r="F359" s="26" t="str">
        <f>IF(E359='Tablas AR'!$B$4,1,IF('Análisis de Riesgos'!E359='Tablas AR'!$B$5,2,IF('Análisis de Riesgos'!E359='Tablas AR'!$B$6,3,"")))</f>
        <v/>
      </c>
      <c r="G359" s="25"/>
      <c r="H359" s="26" t="str">
        <f>IF(G359='Tablas AR'!$B$10,1,IF('Análisis de Riesgos'!G359='Tablas AR'!$B$11,2,IF('Análisis de Riesgos'!G359='Tablas AR'!$B$12,3,"")))</f>
        <v/>
      </c>
      <c r="I359" s="26" t="str">
        <f t="shared" si="5"/>
        <v/>
      </c>
    </row>
    <row r="360" spans="2:9" x14ac:dyDescent="0.3">
      <c r="B360" s="27" t="str">
        <f>IFERROR(INDEX(Activos!$B$3:$C$16, MATCH(C360,Activos!$B$3:$B$16),2),"")</f>
        <v/>
      </c>
      <c r="C360" s="27"/>
      <c r="D360" s="27"/>
      <c r="E360" s="25"/>
      <c r="F360" s="26" t="str">
        <f>IF(E360='Tablas AR'!$B$4,1,IF('Análisis de Riesgos'!E360='Tablas AR'!$B$5,2,IF('Análisis de Riesgos'!E360='Tablas AR'!$B$6,3,"")))</f>
        <v/>
      </c>
      <c r="G360" s="25"/>
      <c r="H360" s="26" t="str">
        <f>IF(G360='Tablas AR'!$B$10,1,IF('Análisis de Riesgos'!G360='Tablas AR'!$B$11,2,IF('Análisis de Riesgos'!G360='Tablas AR'!$B$12,3,"")))</f>
        <v/>
      </c>
      <c r="I360" s="26" t="str">
        <f t="shared" si="5"/>
        <v/>
      </c>
    </row>
    <row r="361" spans="2:9" x14ac:dyDescent="0.3">
      <c r="B361" s="27" t="str">
        <f>IFERROR(INDEX(Activos!$B$3:$C$16, MATCH(C361,Activos!$B$3:$B$16),2),"")</f>
        <v/>
      </c>
      <c r="C361" s="27"/>
      <c r="D361" s="27"/>
      <c r="E361" s="25"/>
      <c r="F361" s="26" t="str">
        <f>IF(E361='Tablas AR'!$B$4,1,IF('Análisis de Riesgos'!E361='Tablas AR'!$B$5,2,IF('Análisis de Riesgos'!E361='Tablas AR'!$B$6,3,"")))</f>
        <v/>
      </c>
      <c r="G361" s="25"/>
      <c r="H361" s="26" t="str">
        <f>IF(G361='Tablas AR'!$B$10,1,IF('Análisis de Riesgos'!G361='Tablas AR'!$B$11,2,IF('Análisis de Riesgos'!G361='Tablas AR'!$B$12,3,"")))</f>
        <v/>
      </c>
      <c r="I361" s="26" t="str">
        <f t="shared" si="5"/>
        <v/>
      </c>
    </row>
    <row r="362" spans="2:9" x14ac:dyDescent="0.3">
      <c r="B362" s="27" t="str">
        <f>IFERROR(INDEX(Activos!$B$3:$C$16, MATCH(C362,Activos!$B$3:$B$16),2),"")</f>
        <v/>
      </c>
      <c r="C362" s="27"/>
      <c r="D362" s="27"/>
      <c r="E362" s="25"/>
      <c r="F362" s="26" t="str">
        <f>IF(E362='Tablas AR'!$B$4,1,IF('Análisis de Riesgos'!E362='Tablas AR'!$B$5,2,IF('Análisis de Riesgos'!E362='Tablas AR'!$B$6,3,"")))</f>
        <v/>
      </c>
      <c r="G362" s="25"/>
      <c r="H362" s="26" t="str">
        <f>IF(G362='Tablas AR'!$B$10,1,IF('Análisis de Riesgos'!G362='Tablas AR'!$B$11,2,IF('Análisis de Riesgos'!G362='Tablas AR'!$B$12,3,"")))</f>
        <v/>
      </c>
      <c r="I362" s="26" t="str">
        <f t="shared" si="5"/>
        <v/>
      </c>
    </row>
    <row r="363" spans="2:9" x14ac:dyDescent="0.3">
      <c r="B363" s="27" t="str">
        <f>IFERROR(INDEX(Activos!$B$3:$C$16, MATCH(C363,Activos!$B$3:$B$16),2),"")</f>
        <v/>
      </c>
      <c r="C363" s="27"/>
      <c r="D363" s="27"/>
      <c r="E363" s="25"/>
      <c r="F363" s="26" t="str">
        <f>IF(E363='Tablas AR'!$B$4,1,IF('Análisis de Riesgos'!E363='Tablas AR'!$B$5,2,IF('Análisis de Riesgos'!E363='Tablas AR'!$B$6,3,"")))</f>
        <v/>
      </c>
      <c r="G363" s="25"/>
      <c r="H363" s="26" t="str">
        <f>IF(G363='Tablas AR'!$B$10,1,IF('Análisis de Riesgos'!G363='Tablas AR'!$B$11,2,IF('Análisis de Riesgos'!G363='Tablas AR'!$B$12,3,"")))</f>
        <v/>
      </c>
      <c r="I363" s="26" t="str">
        <f t="shared" si="5"/>
        <v/>
      </c>
    </row>
    <row r="364" spans="2:9" x14ac:dyDescent="0.3">
      <c r="B364" s="27" t="str">
        <f>IFERROR(INDEX(Activos!$B$3:$C$16, MATCH(C364,Activos!$B$3:$B$16),2),"")</f>
        <v/>
      </c>
      <c r="C364" s="27"/>
      <c r="D364" s="27"/>
      <c r="E364" s="25"/>
      <c r="F364" s="26" t="str">
        <f>IF(E364='Tablas AR'!$B$4,1,IF('Análisis de Riesgos'!E364='Tablas AR'!$B$5,2,IF('Análisis de Riesgos'!E364='Tablas AR'!$B$6,3,"")))</f>
        <v/>
      </c>
      <c r="G364" s="25"/>
      <c r="H364" s="26" t="str">
        <f>IF(G364='Tablas AR'!$B$10,1,IF('Análisis de Riesgos'!G364='Tablas AR'!$B$11,2,IF('Análisis de Riesgos'!G364='Tablas AR'!$B$12,3,"")))</f>
        <v/>
      </c>
      <c r="I364" s="26" t="str">
        <f t="shared" si="5"/>
        <v/>
      </c>
    </row>
    <row r="365" spans="2:9" x14ac:dyDescent="0.3">
      <c r="B365" s="27" t="str">
        <f>IFERROR(INDEX(Activos!$B$3:$C$16, MATCH(C365,Activos!$B$3:$B$16),2),"")</f>
        <v/>
      </c>
      <c r="C365" s="27"/>
      <c r="D365" s="27"/>
      <c r="E365" s="25"/>
      <c r="F365" s="26" t="str">
        <f>IF(E365='Tablas AR'!$B$4,1,IF('Análisis de Riesgos'!E365='Tablas AR'!$B$5,2,IF('Análisis de Riesgos'!E365='Tablas AR'!$B$6,3,"")))</f>
        <v/>
      </c>
      <c r="G365" s="25"/>
      <c r="H365" s="26" t="str">
        <f>IF(G365='Tablas AR'!$B$10,1,IF('Análisis de Riesgos'!G365='Tablas AR'!$B$11,2,IF('Análisis de Riesgos'!G365='Tablas AR'!$B$12,3,"")))</f>
        <v/>
      </c>
      <c r="I365" s="26" t="str">
        <f t="shared" si="5"/>
        <v/>
      </c>
    </row>
    <row r="366" spans="2:9" x14ac:dyDescent="0.3">
      <c r="B366" s="27" t="str">
        <f>IFERROR(INDEX(Activos!$B$3:$C$16, MATCH(C366,Activos!$B$3:$B$16),2),"")</f>
        <v/>
      </c>
      <c r="C366" s="27"/>
      <c r="D366" s="27"/>
      <c r="E366" s="25"/>
      <c r="F366" s="26" t="str">
        <f>IF(E366='Tablas AR'!$B$4,1,IF('Análisis de Riesgos'!E366='Tablas AR'!$B$5,2,IF('Análisis de Riesgos'!E366='Tablas AR'!$B$6,3,"")))</f>
        <v/>
      </c>
      <c r="G366" s="25"/>
      <c r="H366" s="26" t="str">
        <f>IF(G366='Tablas AR'!$B$10,1,IF('Análisis de Riesgos'!G366='Tablas AR'!$B$11,2,IF('Análisis de Riesgos'!G366='Tablas AR'!$B$12,3,"")))</f>
        <v/>
      </c>
      <c r="I366" s="26" t="str">
        <f t="shared" si="5"/>
        <v/>
      </c>
    </row>
    <row r="367" spans="2:9" x14ac:dyDescent="0.3">
      <c r="B367" s="27" t="str">
        <f>IFERROR(INDEX(Activos!$B$3:$C$16, MATCH(C367,Activos!$B$3:$B$16),2),"")</f>
        <v/>
      </c>
      <c r="C367" s="27"/>
      <c r="D367" s="27"/>
      <c r="E367" s="25"/>
      <c r="F367" s="26" t="str">
        <f>IF(E367='Tablas AR'!$B$4,1,IF('Análisis de Riesgos'!E367='Tablas AR'!$B$5,2,IF('Análisis de Riesgos'!E367='Tablas AR'!$B$6,3,"")))</f>
        <v/>
      </c>
      <c r="G367" s="25"/>
      <c r="H367" s="26" t="str">
        <f>IF(G367='Tablas AR'!$B$10,1,IF('Análisis de Riesgos'!G367='Tablas AR'!$B$11,2,IF('Análisis de Riesgos'!G367='Tablas AR'!$B$12,3,"")))</f>
        <v/>
      </c>
      <c r="I367" s="26" t="str">
        <f t="shared" si="5"/>
        <v/>
      </c>
    </row>
    <row r="368" spans="2:9" x14ac:dyDescent="0.3">
      <c r="B368" s="27" t="str">
        <f>IFERROR(INDEX(Activos!$B$3:$C$16, MATCH(C368,Activos!$B$3:$B$16),2),"")</f>
        <v/>
      </c>
      <c r="C368" s="27"/>
      <c r="D368" s="27"/>
      <c r="E368" s="25"/>
      <c r="F368" s="26" t="str">
        <f>IF(E368='Tablas AR'!$B$4,1,IF('Análisis de Riesgos'!E368='Tablas AR'!$B$5,2,IF('Análisis de Riesgos'!E368='Tablas AR'!$B$6,3,"")))</f>
        <v/>
      </c>
      <c r="G368" s="25"/>
      <c r="H368" s="26" t="str">
        <f>IF(G368='Tablas AR'!$B$10,1,IF('Análisis de Riesgos'!G368='Tablas AR'!$B$11,2,IF('Análisis de Riesgos'!G368='Tablas AR'!$B$12,3,"")))</f>
        <v/>
      </c>
      <c r="I368" s="26" t="str">
        <f t="shared" si="5"/>
        <v/>
      </c>
    </row>
    <row r="369" spans="2:9" x14ac:dyDescent="0.3">
      <c r="B369" s="27" t="str">
        <f>IFERROR(INDEX(Activos!$B$3:$C$16, MATCH(C369,Activos!$B$3:$B$16),2),"")</f>
        <v/>
      </c>
      <c r="C369" s="27"/>
      <c r="D369" s="27"/>
      <c r="E369" s="25"/>
      <c r="F369" s="26" t="str">
        <f>IF(E369='Tablas AR'!$B$4,1,IF('Análisis de Riesgos'!E369='Tablas AR'!$B$5,2,IF('Análisis de Riesgos'!E369='Tablas AR'!$B$6,3,"")))</f>
        <v/>
      </c>
      <c r="G369" s="25"/>
      <c r="H369" s="26" t="str">
        <f>IF(G369='Tablas AR'!$B$10,1,IF('Análisis de Riesgos'!G369='Tablas AR'!$B$11,2,IF('Análisis de Riesgos'!G369='Tablas AR'!$B$12,3,"")))</f>
        <v/>
      </c>
      <c r="I369" s="26" t="str">
        <f t="shared" si="5"/>
        <v/>
      </c>
    </row>
    <row r="370" spans="2:9" x14ac:dyDescent="0.3">
      <c r="B370" s="27" t="str">
        <f>IFERROR(INDEX(Activos!$B$3:$C$16, MATCH(C370,Activos!$B$3:$B$16),2),"")</f>
        <v/>
      </c>
      <c r="C370" s="27"/>
      <c r="D370" s="27"/>
      <c r="E370" s="25"/>
      <c r="F370" s="26" t="str">
        <f>IF(E370='Tablas AR'!$B$4,1,IF('Análisis de Riesgos'!E370='Tablas AR'!$B$5,2,IF('Análisis de Riesgos'!E370='Tablas AR'!$B$6,3,"")))</f>
        <v/>
      </c>
      <c r="G370" s="25"/>
      <c r="H370" s="26" t="str">
        <f>IF(G370='Tablas AR'!$B$10,1,IF('Análisis de Riesgos'!G370='Tablas AR'!$B$11,2,IF('Análisis de Riesgos'!G370='Tablas AR'!$B$12,3,"")))</f>
        <v/>
      </c>
      <c r="I370" s="26" t="str">
        <f t="shared" si="5"/>
        <v/>
      </c>
    </row>
    <row r="371" spans="2:9" x14ac:dyDescent="0.3">
      <c r="B371" s="27" t="str">
        <f>IFERROR(INDEX(Activos!$B$3:$C$16, MATCH(C371,Activos!$B$3:$B$16),2),"")</f>
        <v/>
      </c>
      <c r="C371" s="27"/>
      <c r="D371" s="27"/>
      <c r="E371" s="25"/>
      <c r="F371" s="26" t="str">
        <f>IF(E371='Tablas AR'!$B$4,1,IF('Análisis de Riesgos'!E371='Tablas AR'!$B$5,2,IF('Análisis de Riesgos'!E371='Tablas AR'!$B$6,3,"")))</f>
        <v/>
      </c>
      <c r="G371" s="25"/>
      <c r="H371" s="26" t="str">
        <f>IF(G371='Tablas AR'!$B$10,1,IF('Análisis de Riesgos'!G371='Tablas AR'!$B$11,2,IF('Análisis de Riesgos'!G371='Tablas AR'!$B$12,3,"")))</f>
        <v/>
      </c>
      <c r="I371" s="26" t="str">
        <f t="shared" si="5"/>
        <v/>
      </c>
    </row>
    <row r="372" spans="2:9" x14ac:dyDescent="0.3">
      <c r="B372" s="27" t="str">
        <f>IFERROR(INDEX(Activos!$B$3:$C$16, MATCH(C372,Activos!$B$3:$B$16),2),"")</f>
        <v/>
      </c>
      <c r="C372" s="27"/>
      <c r="D372" s="27"/>
      <c r="E372" s="25"/>
      <c r="F372" s="26" t="str">
        <f>IF(E372='Tablas AR'!$B$4,1,IF('Análisis de Riesgos'!E372='Tablas AR'!$B$5,2,IF('Análisis de Riesgos'!E372='Tablas AR'!$B$6,3,"")))</f>
        <v/>
      </c>
      <c r="G372" s="25"/>
      <c r="H372" s="26" t="str">
        <f>IF(G372='Tablas AR'!$B$10,1,IF('Análisis de Riesgos'!G372='Tablas AR'!$B$11,2,IF('Análisis de Riesgos'!G372='Tablas AR'!$B$12,3,"")))</f>
        <v/>
      </c>
      <c r="I372" s="26" t="str">
        <f t="shared" si="5"/>
        <v/>
      </c>
    </row>
    <row r="373" spans="2:9" x14ac:dyDescent="0.3">
      <c r="B373" s="27" t="str">
        <f>IFERROR(INDEX(Activos!$B$3:$C$16, MATCH(C373,Activos!$B$3:$B$16),2),"")</f>
        <v/>
      </c>
      <c r="C373" s="27"/>
      <c r="D373" s="27"/>
      <c r="E373" s="25"/>
      <c r="F373" s="26" t="str">
        <f>IF(E373='Tablas AR'!$B$4,1,IF('Análisis de Riesgos'!E373='Tablas AR'!$B$5,2,IF('Análisis de Riesgos'!E373='Tablas AR'!$B$6,3,"")))</f>
        <v/>
      </c>
      <c r="G373" s="25"/>
      <c r="H373" s="26" t="str">
        <f>IF(G373='Tablas AR'!$B$10,1,IF('Análisis de Riesgos'!G373='Tablas AR'!$B$11,2,IF('Análisis de Riesgos'!G373='Tablas AR'!$B$12,3,"")))</f>
        <v/>
      </c>
      <c r="I373" s="26" t="str">
        <f t="shared" si="5"/>
        <v/>
      </c>
    </row>
    <row r="374" spans="2:9" x14ac:dyDescent="0.3">
      <c r="B374" s="27" t="str">
        <f>IFERROR(INDEX(Activos!$B$3:$C$16, MATCH(C374,Activos!$B$3:$B$16),2),"")</f>
        <v/>
      </c>
      <c r="C374" s="27"/>
      <c r="D374" s="27"/>
      <c r="E374" s="25"/>
      <c r="F374" s="26" t="str">
        <f>IF(E374='Tablas AR'!$B$4,1,IF('Análisis de Riesgos'!E374='Tablas AR'!$B$5,2,IF('Análisis de Riesgos'!E374='Tablas AR'!$B$6,3,"")))</f>
        <v/>
      </c>
      <c r="G374" s="25"/>
      <c r="H374" s="26" t="str">
        <f>IF(G374='Tablas AR'!$B$10,1,IF('Análisis de Riesgos'!G374='Tablas AR'!$B$11,2,IF('Análisis de Riesgos'!G374='Tablas AR'!$B$12,3,"")))</f>
        <v/>
      </c>
      <c r="I374" s="26" t="str">
        <f t="shared" si="5"/>
        <v/>
      </c>
    </row>
    <row r="375" spans="2:9" x14ac:dyDescent="0.3">
      <c r="B375" s="27" t="str">
        <f>IFERROR(INDEX(Activos!$B$3:$C$16, MATCH(C375,Activos!$B$3:$B$16),2),"")</f>
        <v/>
      </c>
      <c r="C375" s="27"/>
      <c r="D375" s="27"/>
      <c r="E375" s="25"/>
      <c r="F375" s="26" t="str">
        <f>IF(E375='Tablas AR'!$B$4,1,IF('Análisis de Riesgos'!E375='Tablas AR'!$B$5,2,IF('Análisis de Riesgos'!E375='Tablas AR'!$B$6,3,"")))</f>
        <v/>
      </c>
      <c r="G375" s="25"/>
      <c r="H375" s="26" t="str">
        <f>IF(G375='Tablas AR'!$B$10,1,IF('Análisis de Riesgos'!G375='Tablas AR'!$B$11,2,IF('Análisis de Riesgos'!G375='Tablas AR'!$B$12,3,"")))</f>
        <v/>
      </c>
      <c r="I375" s="26" t="str">
        <f t="shared" si="5"/>
        <v/>
      </c>
    </row>
    <row r="376" spans="2:9" x14ac:dyDescent="0.3">
      <c r="B376" s="27" t="str">
        <f>IFERROR(INDEX(Activos!$B$3:$C$16, MATCH(C376,Activos!$B$3:$B$16),2),"")</f>
        <v/>
      </c>
      <c r="C376" s="27"/>
      <c r="D376" s="27"/>
      <c r="E376" s="25"/>
      <c r="F376" s="26" t="str">
        <f>IF(E376='Tablas AR'!$B$4,1,IF('Análisis de Riesgos'!E376='Tablas AR'!$B$5,2,IF('Análisis de Riesgos'!E376='Tablas AR'!$B$6,3,"")))</f>
        <v/>
      </c>
      <c r="G376" s="25"/>
      <c r="H376" s="26" t="str">
        <f>IF(G376='Tablas AR'!$B$10,1,IF('Análisis de Riesgos'!G376='Tablas AR'!$B$11,2,IF('Análisis de Riesgos'!G376='Tablas AR'!$B$12,3,"")))</f>
        <v/>
      </c>
      <c r="I376" s="26" t="str">
        <f t="shared" si="5"/>
        <v/>
      </c>
    </row>
    <row r="377" spans="2:9" x14ac:dyDescent="0.3">
      <c r="B377" s="27" t="str">
        <f>IFERROR(INDEX(Activos!$B$3:$C$16, MATCH(C377,Activos!$B$3:$B$16),2),"")</f>
        <v/>
      </c>
      <c r="C377" s="27"/>
      <c r="D377" s="27"/>
      <c r="E377" s="25"/>
      <c r="F377" s="26" t="str">
        <f>IF(E377='Tablas AR'!$B$4,1,IF('Análisis de Riesgos'!E377='Tablas AR'!$B$5,2,IF('Análisis de Riesgos'!E377='Tablas AR'!$B$6,3,"")))</f>
        <v/>
      </c>
      <c r="G377" s="25"/>
      <c r="H377" s="26" t="str">
        <f>IF(G377='Tablas AR'!$B$10,1,IF('Análisis de Riesgos'!G377='Tablas AR'!$B$11,2,IF('Análisis de Riesgos'!G377='Tablas AR'!$B$12,3,"")))</f>
        <v/>
      </c>
      <c r="I377" s="26" t="str">
        <f t="shared" si="5"/>
        <v/>
      </c>
    </row>
    <row r="378" spans="2:9" x14ac:dyDescent="0.3">
      <c r="B378" s="27" t="str">
        <f>IFERROR(INDEX(Activos!$B$3:$C$16, MATCH(C378,Activos!$B$3:$B$16),2),"")</f>
        <v/>
      </c>
      <c r="C378" s="27"/>
      <c r="D378" s="27"/>
      <c r="E378" s="25"/>
      <c r="F378" s="26" t="str">
        <f>IF(E378='Tablas AR'!$B$4,1,IF('Análisis de Riesgos'!E378='Tablas AR'!$B$5,2,IF('Análisis de Riesgos'!E378='Tablas AR'!$B$6,3,"")))</f>
        <v/>
      </c>
      <c r="G378" s="25"/>
      <c r="H378" s="26" t="str">
        <f>IF(G378='Tablas AR'!$B$10,1,IF('Análisis de Riesgos'!G378='Tablas AR'!$B$11,2,IF('Análisis de Riesgos'!G378='Tablas AR'!$B$12,3,"")))</f>
        <v/>
      </c>
      <c r="I378" s="26" t="str">
        <f t="shared" si="5"/>
        <v/>
      </c>
    </row>
    <row r="379" spans="2:9" x14ac:dyDescent="0.3">
      <c r="B379" s="27" t="str">
        <f>IFERROR(INDEX(Activos!$B$3:$C$16, MATCH(C379,Activos!$B$3:$B$16),2),"")</f>
        <v/>
      </c>
      <c r="C379" s="27"/>
      <c r="D379" s="27"/>
      <c r="E379" s="25"/>
      <c r="F379" s="26" t="str">
        <f>IF(E379='Tablas AR'!$B$4,1,IF('Análisis de Riesgos'!E379='Tablas AR'!$B$5,2,IF('Análisis de Riesgos'!E379='Tablas AR'!$B$6,3,"")))</f>
        <v/>
      </c>
      <c r="G379" s="25"/>
      <c r="H379" s="26" t="str">
        <f>IF(G379='Tablas AR'!$B$10,1,IF('Análisis de Riesgos'!G379='Tablas AR'!$B$11,2,IF('Análisis de Riesgos'!G379='Tablas AR'!$B$12,3,"")))</f>
        <v/>
      </c>
      <c r="I379" s="26" t="str">
        <f t="shared" si="5"/>
        <v/>
      </c>
    </row>
    <row r="380" spans="2:9" x14ac:dyDescent="0.3">
      <c r="B380" s="27" t="str">
        <f>IFERROR(INDEX(Activos!$B$3:$C$16, MATCH(C380,Activos!$B$3:$B$16),2),"")</f>
        <v/>
      </c>
      <c r="C380" s="27"/>
      <c r="D380" s="27"/>
      <c r="E380" s="25"/>
      <c r="F380" s="26" t="str">
        <f>IF(E380='Tablas AR'!$B$4,1,IF('Análisis de Riesgos'!E380='Tablas AR'!$B$5,2,IF('Análisis de Riesgos'!E380='Tablas AR'!$B$6,3,"")))</f>
        <v/>
      </c>
      <c r="G380" s="25"/>
      <c r="H380" s="26" t="str">
        <f>IF(G380='Tablas AR'!$B$10,1,IF('Análisis de Riesgos'!G380='Tablas AR'!$B$11,2,IF('Análisis de Riesgos'!G380='Tablas AR'!$B$12,3,"")))</f>
        <v/>
      </c>
      <c r="I380" s="26" t="str">
        <f t="shared" si="5"/>
        <v/>
      </c>
    </row>
    <row r="381" spans="2:9" x14ac:dyDescent="0.3">
      <c r="B381" s="27" t="str">
        <f>IFERROR(INDEX(Activos!$B$3:$C$16, MATCH(C381,Activos!$B$3:$B$16),2),"")</f>
        <v/>
      </c>
      <c r="C381" s="27"/>
      <c r="D381" s="27"/>
      <c r="E381" s="25"/>
      <c r="F381" s="26" t="str">
        <f>IF(E381='Tablas AR'!$B$4,1,IF('Análisis de Riesgos'!E381='Tablas AR'!$B$5,2,IF('Análisis de Riesgos'!E381='Tablas AR'!$B$6,3,"")))</f>
        <v/>
      </c>
      <c r="G381" s="25"/>
      <c r="H381" s="26" t="str">
        <f>IF(G381='Tablas AR'!$B$10,1,IF('Análisis de Riesgos'!G381='Tablas AR'!$B$11,2,IF('Análisis de Riesgos'!G381='Tablas AR'!$B$12,3,"")))</f>
        <v/>
      </c>
      <c r="I381" s="26" t="str">
        <f t="shared" si="5"/>
        <v/>
      </c>
    </row>
    <row r="382" spans="2:9" x14ac:dyDescent="0.3">
      <c r="B382" s="27" t="str">
        <f>IFERROR(INDEX(Activos!$B$3:$C$16, MATCH(C382,Activos!$B$3:$B$16),2),"")</f>
        <v/>
      </c>
      <c r="C382" s="27"/>
      <c r="D382" s="27"/>
      <c r="E382" s="25"/>
      <c r="F382" s="26" t="str">
        <f>IF(E382='Tablas AR'!$B$4,1,IF('Análisis de Riesgos'!E382='Tablas AR'!$B$5,2,IF('Análisis de Riesgos'!E382='Tablas AR'!$B$6,3,"")))</f>
        <v/>
      </c>
      <c r="G382" s="25"/>
      <c r="H382" s="26" t="str">
        <f>IF(G382='Tablas AR'!$B$10,1,IF('Análisis de Riesgos'!G382='Tablas AR'!$B$11,2,IF('Análisis de Riesgos'!G382='Tablas AR'!$B$12,3,"")))</f>
        <v/>
      </c>
      <c r="I382" s="26" t="str">
        <f t="shared" si="5"/>
        <v/>
      </c>
    </row>
    <row r="383" spans="2:9" x14ac:dyDescent="0.3">
      <c r="B383" s="27" t="str">
        <f>IFERROR(INDEX(Activos!$B$3:$C$16, MATCH(C383,Activos!$B$3:$B$16),2),"")</f>
        <v/>
      </c>
      <c r="C383" s="27"/>
      <c r="D383" s="27"/>
      <c r="E383" s="25"/>
      <c r="F383" s="26" t="str">
        <f>IF(E383='Tablas AR'!$B$4,1,IF('Análisis de Riesgos'!E383='Tablas AR'!$B$5,2,IF('Análisis de Riesgos'!E383='Tablas AR'!$B$6,3,"")))</f>
        <v/>
      </c>
      <c r="G383" s="25"/>
      <c r="H383" s="26" t="str">
        <f>IF(G383='Tablas AR'!$B$10,1,IF('Análisis de Riesgos'!G383='Tablas AR'!$B$11,2,IF('Análisis de Riesgos'!G383='Tablas AR'!$B$12,3,"")))</f>
        <v/>
      </c>
      <c r="I383" s="26" t="str">
        <f t="shared" si="5"/>
        <v/>
      </c>
    </row>
    <row r="384" spans="2:9" x14ac:dyDescent="0.3">
      <c r="B384" s="27" t="str">
        <f>IFERROR(INDEX(Activos!$B$3:$C$16, MATCH(C384,Activos!$B$3:$B$16),2),"")</f>
        <v/>
      </c>
      <c r="C384" s="27"/>
      <c r="D384" s="27"/>
      <c r="E384" s="25"/>
      <c r="F384" s="26" t="str">
        <f>IF(E384='Tablas AR'!$B$4,1,IF('Análisis de Riesgos'!E384='Tablas AR'!$B$5,2,IF('Análisis de Riesgos'!E384='Tablas AR'!$B$6,3,"")))</f>
        <v/>
      </c>
      <c r="G384" s="25"/>
      <c r="H384" s="26" t="str">
        <f>IF(G384='Tablas AR'!$B$10,1,IF('Análisis de Riesgos'!G384='Tablas AR'!$B$11,2,IF('Análisis de Riesgos'!G384='Tablas AR'!$B$12,3,"")))</f>
        <v/>
      </c>
      <c r="I384" s="26" t="str">
        <f t="shared" si="5"/>
        <v/>
      </c>
    </row>
    <row r="385" spans="2:9" x14ac:dyDescent="0.3">
      <c r="B385" s="27" t="str">
        <f>IFERROR(INDEX(Activos!$B$3:$C$16, MATCH(C385,Activos!$B$3:$B$16),2),"")</f>
        <v/>
      </c>
      <c r="C385" s="27"/>
      <c r="D385" s="27"/>
      <c r="E385" s="25"/>
      <c r="F385" s="26" t="str">
        <f>IF(E385='Tablas AR'!$B$4,1,IF('Análisis de Riesgos'!E385='Tablas AR'!$B$5,2,IF('Análisis de Riesgos'!E385='Tablas AR'!$B$6,3,"")))</f>
        <v/>
      </c>
      <c r="G385" s="25"/>
      <c r="H385" s="26" t="str">
        <f>IF(G385='Tablas AR'!$B$10,1,IF('Análisis de Riesgos'!G385='Tablas AR'!$B$11,2,IF('Análisis de Riesgos'!G385='Tablas AR'!$B$12,3,"")))</f>
        <v/>
      </c>
      <c r="I385" s="26" t="str">
        <f t="shared" si="5"/>
        <v/>
      </c>
    </row>
    <row r="386" spans="2:9" x14ac:dyDescent="0.3">
      <c r="B386" s="27" t="str">
        <f>IFERROR(INDEX(Activos!$B$3:$C$16, MATCH(C386,Activos!$B$3:$B$16),2),"")</f>
        <v/>
      </c>
      <c r="C386" s="27"/>
      <c r="D386" s="27"/>
      <c r="E386" s="25"/>
      <c r="F386" s="26" t="str">
        <f>IF(E386='Tablas AR'!$B$4,1,IF('Análisis de Riesgos'!E386='Tablas AR'!$B$5,2,IF('Análisis de Riesgos'!E386='Tablas AR'!$B$6,3,"")))</f>
        <v/>
      </c>
      <c r="G386" s="25"/>
      <c r="H386" s="26" t="str">
        <f>IF(G386='Tablas AR'!$B$10,1,IF('Análisis de Riesgos'!G386='Tablas AR'!$B$11,2,IF('Análisis de Riesgos'!G386='Tablas AR'!$B$12,3,"")))</f>
        <v/>
      </c>
      <c r="I386" s="26" t="str">
        <f t="shared" si="5"/>
        <v/>
      </c>
    </row>
    <row r="387" spans="2:9" x14ac:dyDescent="0.3">
      <c r="B387" s="27" t="str">
        <f>IFERROR(INDEX(Activos!$B$3:$C$16, MATCH(C387,Activos!$B$3:$B$16),2),"")</f>
        <v/>
      </c>
      <c r="C387" s="27"/>
      <c r="D387" s="27"/>
      <c r="E387" s="25"/>
      <c r="F387" s="26" t="str">
        <f>IF(E387='Tablas AR'!$B$4,1,IF('Análisis de Riesgos'!E387='Tablas AR'!$B$5,2,IF('Análisis de Riesgos'!E387='Tablas AR'!$B$6,3,"")))</f>
        <v/>
      </c>
      <c r="G387" s="25"/>
      <c r="H387" s="26" t="str">
        <f>IF(G387='Tablas AR'!$B$10,1,IF('Análisis de Riesgos'!G387='Tablas AR'!$B$11,2,IF('Análisis de Riesgos'!G387='Tablas AR'!$B$12,3,"")))</f>
        <v/>
      </c>
      <c r="I387" s="26" t="str">
        <f t="shared" si="5"/>
        <v/>
      </c>
    </row>
    <row r="388" spans="2:9" x14ac:dyDescent="0.3">
      <c r="B388" s="27" t="str">
        <f>IFERROR(INDEX(Activos!$B$3:$C$16, MATCH(C388,Activos!$B$3:$B$16),2),"")</f>
        <v/>
      </c>
      <c r="C388" s="27"/>
      <c r="D388" s="27"/>
      <c r="E388" s="25"/>
      <c r="F388" s="26" t="str">
        <f>IF(E388='Tablas AR'!$B$4,1,IF('Análisis de Riesgos'!E388='Tablas AR'!$B$5,2,IF('Análisis de Riesgos'!E388='Tablas AR'!$B$6,3,"")))</f>
        <v/>
      </c>
      <c r="G388" s="25"/>
      <c r="H388" s="26" t="str">
        <f>IF(G388='Tablas AR'!$B$10,1,IF('Análisis de Riesgos'!G388='Tablas AR'!$B$11,2,IF('Análisis de Riesgos'!G388='Tablas AR'!$B$12,3,"")))</f>
        <v/>
      </c>
      <c r="I388" s="26" t="str">
        <f t="shared" ref="I388:I451" si="6" xml:space="preserve"> IFERROR(F388*H388,"")</f>
        <v/>
      </c>
    </row>
    <row r="389" spans="2:9" x14ac:dyDescent="0.3">
      <c r="B389" s="27" t="str">
        <f>IFERROR(INDEX(Activos!$B$3:$C$16, MATCH(C389,Activos!$B$3:$B$16),2),"")</f>
        <v/>
      </c>
      <c r="C389" s="27"/>
      <c r="D389" s="27"/>
      <c r="E389" s="25"/>
      <c r="F389" s="26" t="str">
        <f>IF(E389='Tablas AR'!$B$4,1,IF('Análisis de Riesgos'!E389='Tablas AR'!$B$5,2,IF('Análisis de Riesgos'!E389='Tablas AR'!$B$6,3,"")))</f>
        <v/>
      </c>
      <c r="G389" s="25"/>
      <c r="H389" s="26" t="str">
        <f>IF(G389='Tablas AR'!$B$10,1,IF('Análisis de Riesgos'!G389='Tablas AR'!$B$11,2,IF('Análisis de Riesgos'!G389='Tablas AR'!$B$12,3,"")))</f>
        <v/>
      </c>
      <c r="I389" s="26" t="str">
        <f t="shared" si="6"/>
        <v/>
      </c>
    </row>
    <row r="390" spans="2:9" x14ac:dyDescent="0.3">
      <c r="B390" s="27" t="str">
        <f>IFERROR(INDEX(Activos!$B$3:$C$16, MATCH(C390,Activos!$B$3:$B$16),2),"")</f>
        <v/>
      </c>
      <c r="C390" s="27"/>
      <c r="D390" s="27"/>
      <c r="E390" s="25"/>
      <c r="F390" s="26" t="str">
        <f>IF(E390='Tablas AR'!$B$4,1,IF('Análisis de Riesgos'!E390='Tablas AR'!$B$5,2,IF('Análisis de Riesgos'!E390='Tablas AR'!$B$6,3,"")))</f>
        <v/>
      </c>
      <c r="G390" s="25"/>
      <c r="H390" s="26" t="str">
        <f>IF(G390='Tablas AR'!$B$10,1,IF('Análisis de Riesgos'!G390='Tablas AR'!$B$11,2,IF('Análisis de Riesgos'!G390='Tablas AR'!$B$12,3,"")))</f>
        <v/>
      </c>
      <c r="I390" s="26" t="str">
        <f t="shared" si="6"/>
        <v/>
      </c>
    </row>
    <row r="391" spans="2:9" x14ac:dyDescent="0.3">
      <c r="B391" s="27" t="str">
        <f>IFERROR(INDEX(Activos!$B$3:$C$16, MATCH(C391,Activos!$B$3:$B$16),2),"")</f>
        <v/>
      </c>
      <c r="C391" s="27"/>
      <c r="D391" s="27"/>
      <c r="E391" s="25"/>
      <c r="F391" s="26" t="str">
        <f>IF(E391='Tablas AR'!$B$4,1,IF('Análisis de Riesgos'!E391='Tablas AR'!$B$5,2,IF('Análisis de Riesgos'!E391='Tablas AR'!$B$6,3,"")))</f>
        <v/>
      </c>
      <c r="G391" s="25"/>
      <c r="H391" s="26" t="str">
        <f>IF(G391='Tablas AR'!$B$10,1,IF('Análisis de Riesgos'!G391='Tablas AR'!$B$11,2,IF('Análisis de Riesgos'!G391='Tablas AR'!$B$12,3,"")))</f>
        <v/>
      </c>
      <c r="I391" s="26" t="str">
        <f t="shared" si="6"/>
        <v/>
      </c>
    </row>
    <row r="392" spans="2:9" x14ac:dyDescent="0.3">
      <c r="B392" s="27" t="str">
        <f>IFERROR(INDEX(Activos!$B$3:$C$16, MATCH(C392,Activos!$B$3:$B$16),2),"")</f>
        <v/>
      </c>
      <c r="C392" s="27"/>
      <c r="D392" s="27"/>
      <c r="E392" s="25"/>
      <c r="F392" s="26" t="str">
        <f>IF(E392='Tablas AR'!$B$4,1,IF('Análisis de Riesgos'!E392='Tablas AR'!$B$5,2,IF('Análisis de Riesgos'!E392='Tablas AR'!$B$6,3,"")))</f>
        <v/>
      </c>
      <c r="G392" s="25"/>
      <c r="H392" s="26" t="str">
        <f>IF(G392='Tablas AR'!$B$10,1,IF('Análisis de Riesgos'!G392='Tablas AR'!$B$11,2,IF('Análisis de Riesgos'!G392='Tablas AR'!$B$12,3,"")))</f>
        <v/>
      </c>
      <c r="I392" s="26" t="str">
        <f t="shared" si="6"/>
        <v/>
      </c>
    </row>
    <row r="393" spans="2:9" x14ac:dyDescent="0.3">
      <c r="B393" s="27" t="str">
        <f>IFERROR(INDEX(Activos!$B$3:$C$16, MATCH(C393,Activos!$B$3:$B$16),2),"")</f>
        <v/>
      </c>
      <c r="C393" s="27"/>
      <c r="D393" s="27"/>
      <c r="E393" s="25"/>
      <c r="F393" s="26" t="str">
        <f>IF(E393='Tablas AR'!$B$4,1,IF('Análisis de Riesgos'!E393='Tablas AR'!$B$5,2,IF('Análisis de Riesgos'!E393='Tablas AR'!$B$6,3,"")))</f>
        <v/>
      </c>
      <c r="G393" s="25"/>
      <c r="H393" s="26" t="str">
        <f>IF(G393='Tablas AR'!$B$10,1,IF('Análisis de Riesgos'!G393='Tablas AR'!$B$11,2,IF('Análisis de Riesgos'!G393='Tablas AR'!$B$12,3,"")))</f>
        <v/>
      </c>
      <c r="I393" s="26" t="str">
        <f t="shared" si="6"/>
        <v/>
      </c>
    </row>
    <row r="394" spans="2:9" x14ac:dyDescent="0.3">
      <c r="B394" s="27" t="str">
        <f>IFERROR(INDEX(Activos!$B$3:$C$16, MATCH(C394,Activos!$B$3:$B$16),2),"")</f>
        <v/>
      </c>
      <c r="C394" s="27"/>
      <c r="D394" s="27"/>
      <c r="E394" s="25"/>
      <c r="F394" s="26" t="str">
        <f>IF(E394='Tablas AR'!$B$4,1,IF('Análisis de Riesgos'!E394='Tablas AR'!$B$5,2,IF('Análisis de Riesgos'!E394='Tablas AR'!$B$6,3,"")))</f>
        <v/>
      </c>
      <c r="G394" s="25"/>
      <c r="H394" s="26" t="str">
        <f>IF(G394='Tablas AR'!$B$10,1,IF('Análisis de Riesgos'!G394='Tablas AR'!$B$11,2,IF('Análisis de Riesgos'!G394='Tablas AR'!$B$12,3,"")))</f>
        <v/>
      </c>
      <c r="I394" s="26" t="str">
        <f t="shared" si="6"/>
        <v/>
      </c>
    </row>
    <row r="395" spans="2:9" x14ac:dyDescent="0.3">
      <c r="B395" s="27" t="str">
        <f>IFERROR(INDEX(Activos!$B$3:$C$16, MATCH(C395,Activos!$B$3:$B$16),2),"")</f>
        <v/>
      </c>
      <c r="C395" s="27"/>
      <c r="D395" s="27"/>
      <c r="E395" s="25"/>
      <c r="F395" s="26" t="str">
        <f>IF(E395='Tablas AR'!$B$4,1,IF('Análisis de Riesgos'!E395='Tablas AR'!$B$5,2,IF('Análisis de Riesgos'!E395='Tablas AR'!$B$6,3,"")))</f>
        <v/>
      </c>
      <c r="G395" s="25"/>
      <c r="H395" s="26" t="str">
        <f>IF(G395='Tablas AR'!$B$10,1,IF('Análisis de Riesgos'!G395='Tablas AR'!$B$11,2,IF('Análisis de Riesgos'!G395='Tablas AR'!$B$12,3,"")))</f>
        <v/>
      </c>
      <c r="I395" s="26" t="str">
        <f t="shared" si="6"/>
        <v/>
      </c>
    </row>
    <row r="396" spans="2:9" x14ac:dyDescent="0.3">
      <c r="B396" s="27" t="str">
        <f>IFERROR(INDEX(Activos!$B$3:$C$16, MATCH(C396,Activos!$B$3:$B$16),2),"")</f>
        <v/>
      </c>
      <c r="C396" s="27"/>
      <c r="D396" s="27"/>
      <c r="E396" s="25"/>
      <c r="F396" s="26" t="str">
        <f>IF(E396='Tablas AR'!$B$4,1,IF('Análisis de Riesgos'!E396='Tablas AR'!$B$5,2,IF('Análisis de Riesgos'!E396='Tablas AR'!$B$6,3,"")))</f>
        <v/>
      </c>
      <c r="G396" s="25"/>
      <c r="H396" s="26" t="str">
        <f>IF(G396='Tablas AR'!$B$10,1,IF('Análisis de Riesgos'!G396='Tablas AR'!$B$11,2,IF('Análisis de Riesgos'!G396='Tablas AR'!$B$12,3,"")))</f>
        <v/>
      </c>
      <c r="I396" s="26" t="str">
        <f t="shared" si="6"/>
        <v/>
      </c>
    </row>
    <row r="397" spans="2:9" x14ac:dyDescent="0.3">
      <c r="B397" s="27" t="str">
        <f>IFERROR(INDEX(Activos!$B$3:$C$16, MATCH(C397,Activos!$B$3:$B$16),2),"")</f>
        <v/>
      </c>
      <c r="C397" s="27"/>
      <c r="D397" s="27"/>
      <c r="E397" s="25"/>
      <c r="F397" s="26" t="str">
        <f>IF(E397='Tablas AR'!$B$4,1,IF('Análisis de Riesgos'!E397='Tablas AR'!$B$5,2,IF('Análisis de Riesgos'!E397='Tablas AR'!$B$6,3,"")))</f>
        <v/>
      </c>
      <c r="G397" s="25"/>
      <c r="H397" s="26" t="str">
        <f>IF(G397='Tablas AR'!$B$10,1,IF('Análisis de Riesgos'!G397='Tablas AR'!$B$11,2,IF('Análisis de Riesgos'!G397='Tablas AR'!$B$12,3,"")))</f>
        <v/>
      </c>
      <c r="I397" s="26" t="str">
        <f t="shared" si="6"/>
        <v/>
      </c>
    </row>
    <row r="398" spans="2:9" x14ac:dyDescent="0.3">
      <c r="B398" s="27" t="str">
        <f>IFERROR(INDEX(Activos!$B$3:$C$16, MATCH(C398,Activos!$B$3:$B$16),2),"")</f>
        <v/>
      </c>
      <c r="C398" s="27"/>
      <c r="D398" s="27"/>
      <c r="E398" s="25"/>
      <c r="F398" s="26" t="str">
        <f>IF(E398='Tablas AR'!$B$4,1,IF('Análisis de Riesgos'!E398='Tablas AR'!$B$5,2,IF('Análisis de Riesgos'!E398='Tablas AR'!$B$6,3,"")))</f>
        <v/>
      </c>
      <c r="G398" s="25"/>
      <c r="H398" s="26" t="str">
        <f>IF(G398='Tablas AR'!$B$10,1,IF('Análisis de Riesgos'!G398='Tablas AR'!$B$11,2,IF('Análisis de Riesgos'!G398='Tablas AR'!$B$12,3,"")))</f>
        <v/>
      </c>
      <c r="I398" s="26" t="str">
        <f t="shared" si="6"/>
        <v/>
      </c>
    </row>
    <row r="399" spans="2:9" x14ac:dyDescent="0.3">
      <c r="B399" s="27" t="str">
        <f>IFERROR(INDEX(Activos!$B$3:$C$16, MATCH(C399,Activos!$B$3:$B$16),2),"")</f>
        <v/>
      </c>
      <c r="C399" s="27"/>
      <c r="D399" s="27"/>
      <c r="E399" s="25"/>
      <c r="F399" s="26" t="str">
        <f>IF(E399='Tablas AR'!$B$4,1,IF('Análisis de Riesgos'!E399='Tablas AR'!$B$5,2,IF('Análisis de Riesgos'!E399='Tablas AR'!$B$6,3,"")))</f>
        <v/>
      </c>
      <c r="G399" s="25"/>
      <c r="H399" s="26" t="str">
        <f>IF(G399='Tablas AR'!$B$10,1,IF('Análisis de Riesgos'!G399='Tablas AR'!$B$11,2,IF('Análisis de Riesgos'!G399='Tablas AR'!$B$12,3,"")))</f>
        <v/>
      </c>
      <c r="I399" s="26" t="str">
        <f t="shared" si="6"/>
        <v/>
      </c>
    </row>
    <row r="400" spans="2:9" x14ac:dyDescent="0.3">
      <c r="B400" s="27" t="str">
        <f>IFERROR(INDEX(Activos!$B$3:$C$16, MATCH(C400,Activos!$B$3:$B$16),2),"")</f>
        <v/>
      </c>
      <c r="C400" s="27"/>
      <c r="D400" s="27"/>
      <c r="E400" s="25"/>
      <c r="F400" s="26" t="str">
        <f>IF(E400='Tablas AR'!$B$4,1,IF('Análisis de Riesgos'!E400='Tablas AR'!$B$5,2,IF('Análisis de Riesgos'!E400='Tablas AR'!$B$6,3,"")))</f>
        <v/>
      </c>
      <c r="G400" s="25"/>
      <c r="H400" s="26" t="str">
        <f>IF(G400='Tablas AR'!$B$10,1,IF('Análisis de Riesgos'!G400='Tablas AR'!$B$11,2,IF('Análisis de Riesgos'!G400='Tablas AR'!$B$12,3,"")))</f>
        <v/>
      </c>
      <c r="I400" s="26" t="str">
        <f t="shared" si="6"/>
        <v/>
      </c>
    </row>
    <row r="401" spans="2:9" x14ac:dyDescent="0.3">
      <c r="B401" s="27" t="str">
        <f>IFERROR(INDEX(Activos!$B$3:$C$16, MATCH(C401,Activos!$B$3:$B$16),2),"")</f>
        <v/>
      </c>
      <c r="C401" s="27"/>
      <c r="D401" s="27"/>
      <c r="E401" s="25"/>
      <c r="F401" s="26" t="str">
        <f>IF(E401='Tablas AR'!$B$4,1,IF('Análisis de Riesgos'!E401='Tablas AR'!$B$5,2,IF('Análisis de Riesgos'!E401='Tablas AR'!$B$6,3,"")))</f>
        <v/>
      </c>
      <c r="G401" s="25"/>
      <c r="H401" s="26" t="str">
        <f>IF(G401='Tablas AR'!$B$10,1,IF('Análisis de Riesgos'!G401='Tablas AR'!$B$11,2,IF('Análisis de Riesgos'!G401='Tablas AR'!$B$12,3,"")))</f>
        <v/>
      </c>
      <c r="I401" s="26" t="str">
        <f t="shared" si="6"/>
        <v/>
      </c>
    </row>
    <row r="402" spans="2:9" x14ac:dyDescent="0.3">
      <c r="B402" s="27" t="str">
        <f>IFERROR(INDEX(Activos!$B$3:$C$16, MATCH(C402,Activos!$B$3:$B$16),2),"")</f>
        <v/>
      </c>
      <c r="C402" s="27"/>
      <c r="D402" s="27"/>
      <c r="E402" s="25"/>
      <c r="F402" s="26" t="str">
        <f>IF(E402='Tablas AR'!$B$4,1,IF('Análisis de Riesgos'!E402='Tablas AR'!$B$5,2,IF('Análisis de Riesgos'!E402='Tablas AR'!$B$6,3,"")))</f>
        <v/>
      </c>
      <c r="G402" s="25"/>
      <c r="H402" s="26" t="str">
        <f>IF(G402='Tablas AR'!$B$10,1,IF('Análisis de Riesgos'!G402='Tablas AR'!$B$11,2,IF('Análisis de Riesgos'!G402='Tablas AR'!$B$12,3,"")))</f>
        <v/>
      </c>
      <c r="I402" s="26" t="str">
        <f t="shared" si="6"/>
        <v/>
      </c>
    </row>
    <row r="403" spans="2:9" x14ac:dyDescent="0.3">
      <c r="B403" s="27" t="str">
        <f>IFERROR(INDEX(Activos!$B$3:$C$16, MATCH(C403,Activos!$B$3:$B$16),2),"")</f>
        <v/>
      </c>
      <c r="C403" s="27"/>
      <c r="D403" s="27"/>
      <c r="E403" s="25"/>
      <c r="F403" s="26" t="str">
        <f>IF(E403='Tablas AR'!$B$4,1,IF('Análisis de Riesgos'!E403='Tablas AR'!$B$5,2,IF('Análisis de Riesgos'!E403='Tablas AR'!$B$6,3,"")))</f>
        <v/>
      </c>
      <c r="G403" s="25"/>
      <c r="H403" s="26" t="str">
        <f>IF(G403='Tablas AR'!$B$10,1,IF('Análisis de Riesgos'!G403='Tablas AR'!$B$11,2,IF('Análisis de Riesgos'!G403='Tablas AR'!$B$12,3,"")))</f>
        <v/>
      </c>
      <c r="I403" s="26" t="str">
        <f t="shared" si="6"/>
        <v/>
      </c>
    </row>
    <row r="404" spans="2:9" x14ac:dyDescent="0.3">
      <c r="B404" s="27" t="str">
        <f>IFERROR(INDEX(Activos!$B$3:$C$16, MATCH(C404,Activos!$B$3:$B$16),2),"")</f>
        <v/>
      </c>
      <c r="C404" s="27"/>
      <c r="D404" s="27"/>
      <c r="E404" s="25"/>
      <c r="F404" s="26" t="str">
        <f>IF(E404='Tablas AR'!$B$4,1,IF('Análisis de Riesgos'!E404='Tablas AR'!$B$5,2,IF('Análisis de Riesgos'!E404='Tablas AR'!$B$6,3,"")))</f>
        <v/>
      </c>
      <c r="G404" s="25"/>
      <c r="H404" s="26" t="str">
        <f>IF(G404='Tablas AR'!$B$10,1,IF('Análisis de Riesgos'!G404='Tablas AR'!$B$11,2,IF('Análisis de Riesgos'!G404='Tablas AR'!$B$12,3,"")))</f>
        <v/>
      </c>
      <c r="I404" s="26" t="str">
        <f t="shared" si="6"/>
        <v/>
      </c>
    </row>
    <row r="405" spans="2:9" x14ac:dyDescent="0.3">
      <c r="B405" s="27" t="str">
        <f>IFERROR(INDEX(Activos!$B$3:$C$16, MATCH(C405,Activos!$B$3:$B$16),2),"")</f>
        <v/>
      </c>
      <c r="C405" s="27"/>
      <c r="D405" s="27"/>
      <c r="E405" s="25"/>
      <c r="F405" s="26" t="str">
        <f>IF(E405='Tablas AR'!$B$4,1,IF('Análisis de Riesgos'!E405='Tablas AR'!$B$5,2,IF('Análisis de Riesgos'!E405='Tablas AR'!$B$6,3,"")))</f>
        <v/>
      </c>
      <c r="G405" s="25"/>
      <c r="H405" s="26" t="str">
        <f>IF(G405='Tablas AR'!$B$10,1,IF('Análisis de Riesgos'!G405='Tablas AR'!$B$11,2,IF('Análisis de Riesgos'!G405='Tablas AR'!$B$12,3,"")))</f>
        <v/>
      </c>
      <c r="I405" s="26" t="str">
        <f t="shared" si="6"/>
        <v/>
      </c>
    </row>
    <row r="406" spans="2:9" x14ac:dyDescent="0.3">
      <c r="B406" s="27" t="str">
        <f>IFERROR(INDEX(Activos!$B$3:$C$16, MATCH(C406,Activos!$B$3:$B$16),2),"")</f>
        <v/>
      </c>
      <c r="C406" s="27"/>
      <c r="D406" s="27"/>
      <c r="E406" s="25"/>
      <c r="F406" s="26" t="str">
        <f>IF(E406='Tablas AR'!$B$4,1,IF('Análisis de Riesgos'!E406='Tablas AR'!$B$5,2,IF('Análisis de Riesgos'!E406='Tablas AR'!$B$6,3,"")))</f>
        <v/>
      </c>
      <c r="G406" s="25"/>
      <c r="H406" s="26" t="str">
        <f>IF(G406='Tablas AR'!$B$10,1,IF('Análisis de Riesgos'!G406='Tablas AR'!$B$11,2,IF('Análisis de Riesgos'!G406='Tablas AR'!$B$12,3,"")))</f>
        <v/>
      </c>
      <c r="I406" s="26" t="str">
        <f t="shared" si="6"/>
        <v/>
      </c>
    </row>
    <row r="407" spans="2:9" x14ac:dyDescent="0.3">
      <c r="B407" s="27" t="str">
        <f>IFERROR(INDEX(Activos!$B$3:$C$16, MATCH(C407,Activos!$B$3:$B$16),2),"")</f>
        <v/>
      </c>
      <c r="C407" s="27"/>
      <c r="D407" s="27"/>
      <c r="E407" s="25"/>
      <c r="F407" s="26" t="str">
        <f>IF(E407='Tablas AR'!$B$4,1,IF('Análisis de Riesgos'!E407='Tablas AR'!$B$5,2,IF('Análisis de Riesgos'!E407='Tablas AR'!$B$6,3,"")))</f>
        <v/>
      </c>
      <c r="G407" s="25"/>
      <c r="H407" s="26" t="str">
        <f>IF(G407='Tablas AR'!$B$10,1,IF('Análisis de Riesgos'!G407='Tablas AR'!$B$11,2,IF('Análisis de Riesgos'!G407='Tablas AR'!$B$12,3,"")))</f>
        <v/>
      </c>
      <c r="I407" s="26" t="str">
        <f t="shared" si="6"/>
        <v/>
      </c>
    </row>
    <row r="408" spans="2:9" x14ac:dyDescent="0.3">
      <c r="B408" s="27" t="str">
        <f>IFERROR(INDEX(Activos!$B$3:$C$16, MATCH(C408,Activos!$B$3:$B$16),2),"")</f>
        <v/>
      </c>
      <c r="C408" s="27"/>
      <c r="D408" s="27"/>
      <c r="E408" s="25"/>
      <c r="F408" s="26" t="str">
        <f>IF(E408='Tablas AR'!$B$4,1,IF('Análisis de Riesgos'!E408='Tablas AR'!$B$5,2,IF('Análisis de Riesgos'!E408='Tablas AR'!$B$6,3,"")))</f>
        <v/>
      </c>
      <c r="G408" s="25"/>
      <c r="H408" s="26" t="str">
        <f>IF(G408='Tablas AR'!$B$10,1,IF('Análisis de Riesgos'!G408='Tablas AR'!$B$11,2,IF('Análisis de Riesgos'!G408='Tablas AR'!$B$12,3,"")))</f>
        <v/>
      </c>
      <c r="I408" s="26" t="str">
        <f t="shared" si="6"/>
        <v/>
      </c>
    </row>
    <row r="409" spans="2:9" x14ac:dyDescent="0.3">
      <c r="B409" s="27" t="str">
        <f>IFERROR(INDEX(Activos!$B$3:$C$16, MATCH(C409,Activos!$B$3:$B$16),2),"")</f>
        <v/>
      </c>
      <c r="C409" s="27"/>
      <c r="D409" s="27"/>
      <c r="E409" s="25"/>
      <c r="F409" s="26" t="str">
        <f>IF(E409='Tablas AR'!$B$4,1,IF('Análisis de Riesgos'!E409='Tablas AR'!$B$5,2,IF('Análisis de Riesgos'!E409='Tablas AR'!$B$6,3,"")))</f>
        <v/>
      </c>
      <c r="G409" s="25"/>
      <c r="H409" s="26" t="str">
        <f>IF(G409='Tablas AR'!$B$10,1,IF('Análisis de Riesgos'!G409='Tablas AR'!$B$11,2,IF('Análisis de Riesgos'!G409='Tablas AR'!$B$12,3,"")))</f>
        <v/>
      </c>
      <c r="I409" s="26" t="str">
        <f t="shared" si="6"/>
        <v/>
      </c>
    </row>
    <row r="410" spans="2:9" x14ac:dyDescent="0.3">
      <c r="B410" s="27" t="str">
        <f>IFERROR(INDEX(Activos!$B$3:$C$16, MATCH(C410,Activos!$B$3:$B$16),2),"")</f>
        <v/>
      </c>
      <c r="C410" s="27"/>
      <c r="D410" s="27"/>
      <c r="E410" s="25"/>
      <c r="F410" s="26" t="str">
        <f>IF(E410='Tablas AR'!$B$4,1,IF('Análisis de Riesgos'!E410='Tablas AR'!$B$5,2,IF('Análisis de Riesgos'!E410='Tablas AR'!$B$6,3,"")))</f>
        <v/>
      </c>
      <c r="G410" s="25"/>
      <c r="H410" s="26" t="str">
        <f>IF(G410='Tablas AR'!$B$10,1,IF('Análisis de Riesgos'!G410='Tablas AR'!$B$11,2,IF('Análisis de Riesgos'!G410='Tablas AR'!$B$12,3,"")))</f>
        <v/>
      </c>
      <c r="I410" s="26" t="str">
        <f t="shared" si="6"/>
        <v/>
      </c>
    </row>
    <row r="411" spans="2:9" x14ac:dyDescent="0.3">
      <c r="B411" s="27" t="str">
        <f>IFERROR(INDEX(Activos!$B$3:$C$16, MATCH(C411,Activos!$B$3:$B$16),2),"")</f>
        <v/>
      </c>
      <c r="C411" s="27"/>
      <c r="D411" s="27"/>
      <c r="E411" s="25"/>
      <c r="F411" s="26" t="str">
        <f>IF(E411='Tablas AR'!$B$4,1,IF('Análisis de Riesgos'!E411='Tablas AR'!$B$5,2,IF('Análisis de Riesgos'!E411='Tablas AR'!$B$6,3,"")))</f>
        <v/>
      </c>
      <c r="G411" s="25"/>
      <c r="H411" s="26" t="str">
        <f>IF(G411='Tablas AR'!$B$10,1,IF('Análisis de Riesgos'!G411='Tablas AR'!$B$11,2,IF('Análisis de Riesgos'!G411='Tablas AR'!$B$12,3,"")))</f>
        <v/>
      </c>
      <c r="I411" s="26" t="str">
        <f t="shared" si="6"/>
        <v/>
      </c>
    </row>
    <row r="412" spans="2:9" x14ac:dyDescent="0.3">
      <c r="B412" s="27" t="str">
        <f>IFERROR(INDEX(Activos!$B$3:$C$16, MATCH(C412,Activos!$B$3:$B$16),2),"")</f>
        <v/>
      </c>
      <c r="C412" s="27"/>
      <c r="D412" s="27"/>
      <c r="E412" s="25"/>
      <c r="F412" s="26" t="str">
        <f>IF(E412='Tablas AR'!$B$4,1,IF('Análisis de Riesgos'!E412='Tablas AR'!$B$5,2,IF('Análisis de Riesgos'!E412='Tablas AR'!$B$6,3,"")))</f>
        <v/>
      </c>
      <c r="G412" s="25"/>
      <c r="H412" s="26" t="str">
        <f>IF(G412='Tablas AR'!$B$10,1,IF('Análisis de Riesgos'!G412='Tablas AR'!$B$11,2,IF('Análisis de Riesgos'!G412='Tablas AR'!$B$12,3,"")))</f>
        <v/>
      </c>
      <c r="I412" s="26" t="str">
        <f t="shared" si="6"/>
        <v/>
      </c>
    </row>
    <row r="413" spans="2:9" x14ac:dyDescent="0.3">
      <c r="B413" s="27" t="str">
        <f>IFERROR(INDEX(Activos!$B$3:$C$16, MATCH(C413,Activos!$B$3:$B$16),2),"")</f>
        <v/>
      </c>
      <c r="C413" s="27"/>
      <c r="D413" s="27"/>
      <c r="E413" s="25"/>
      <c r="F413" s="26" t="str">
        <f>IF(E413='Tablas AR'!$B$4,1,IF('Análisis de Riesgos'!E413='Tablas AR'!$B$5,2,IF('Análisis de Riesgos'!E413='Tablas AR'!$B$6,3,"")))</f>
        <v/>
      </c>
      <c r="G413" s="25"/>
      <c r="H413" s="26" t="str">
        <f>IF(G413='Tablas AR'!$B$10,1,IF('Análisis de Riesgos'!G413='Tablas AR'!$B$11,2,IF('Análisis de Riesgos'!G413='Tablas AR'!$B$12,3,"")))</f>
        <v/>
      </c>
      <c r="I413" s="26" t="str">
        <f t="shared" si="6"/>
        <v/>
      </c>
    </row>
    <row r="414" spans="2:9" x14ac:dyDescent="0.3">
      <c r="B414" s="27" t="str">
        <f>IFERROR(INDEX(Activos!$B$3:$C$16, MATCH(C414,Activos!$B$3:$B$16),2),"")</f>
        <v/>
      </c>
      <c r="C414" s="27"/>
      <c r="D414" s="27"/>
      <c r="E414" s="25"/>
      <c r="F414" s="26" t="str">
        <f>IF(E414='Tablas AR'!$B$4,1,IF('Análisis de Riesgos'!E414='Tablas AR'!$B$5,2,IF('Análisis de Riesgos'!E414='Tablas AR'!$B$6,3,"")))</f>
        <v/>
      </c>
      <c r="G414" s="25"/>
      <c r="H414" s="26" t="str">
        <f>IF(G414='Tablas AR'!$B$10,1,IF('Análisis de Riesgos'!G414='Tablas AR'!$B$11,2,IF('Análisis de Riesgos'!G414='Tablas AR'!$B$12,3,"")))</f>
        <v/>
      </c>
      <c r="I414" s="26" t="str">
        <f t="shared" si="6"/>
        <v/>
      </c>
    </row>
    <row r="415" spans="2:9" x14ac:dyDescent="0.3">
      <c r="B415" s="27" t="str">
        <f>IFERROR(INDEX(Activos!$B$3:$C$16, MATCH(C415,Activos!$B$3:$B$16),2),"")</f>
        <v/>
      </c>
      <c r="C415" s="27"/>
      <c r="D415" s="27"/>
      <c r="E415" s="25"/>
      <c r="F415" s="26" t="str">
        <f>IF(E415='Tablas AR'!$B$4,1,IF('Análisis de Riesgos'!E415='Tablas AR'!$B$5,2,IF('Análisis de Riesgos'!E415='Tablas AR'!$B$6,3,"")))</f>
        <v/>
      </c>
      <c r="G415" s="25"/>
      <c r="H415" s="26" t="str">
        <f>IF(G415='Tablas AR'!$B$10,1,IF('Análisis de Riesgos'!G415='Tablas AR'!$B$11,2,IF('Análisis de Riesgos'!G415='Tablas AR'!$B$12,3,"")))</f>
        <v/>
      </c>
      <c r="I415" s="26" t="str">
        <f t="shared" si="6"/>
        <v/>
      </c>
    </row>
    <row r="416" spans="2:9" x14ac:dyDescent="0.3">
      <c r="B416" s="27" t="str">
        <f>IFERROR(INDEX(Activos!$B$3:$C$16, MATCH(C416,Activos!$B$3:$B$16),2),"")</f>
        <v/>
      </c>
      <c r="C416" s="27"/>
      <c r="D416" s="27"/>
      <c r="E416" s="25"/>
      <c r="F416" s="26" t="str">
        <f>IF(E416='Tablas AR'!$B$4,1,IF('Análisis de Riesgos'!E416='Tablas AR'!$B$5,2,IF('Análisis de Riesgos'!E416='Tablas AR'!$B$6,3,"")))</f>
        <v/>
      </c>
      <c r="G416" s="25"/>
      <c r="H416" s="26" t="str">
        <f>IF(G416='Tablas AR'!$B$10,1,IF('Análisis de Riesgos'!G416='Tablas AR'!$B$11,2,IF('Análisis de Riesgos'!G416='Tablas AR'!$B$12,3,"")))</f>
        <v/>
      </c>
      <c r="I416" s="26" t="str">
        <f t="shared" si="6"/>
        <v/>
      </c>
    </row>
    <row r="417" spans="2:9" x14ac:dyDescent="0.3">
      <c r="B417" s="27" t="str">
        <f>IFERROR(INDEX(Activos!$B$3:$C$16, MATCH(C417,Activos!$B$3:$B$16),2),"")</f>
        <v/>
      </c>
      <c r="C417" s="27"/>
      <c r="D417" s="27"/>
      <c r="E417" s="25"/>
      <c r="F417" s="26" t="str">
        <f>IF(E417='Tablas AR'!$B$4,1,IF('Análisis de Riesgos'!E417='Tablas AR'!$B$5,2,IF('Análisis de Riesgos'!E417='Tablas AR'!$B$6,3,"")))</f>
        <v/>
      </c>
      <c r="G417" s="25"/>
      <c r="H417" s="26" t="str">
        <f>IF(G417='Tablas AR'!$B$10,1,IF('Análisis de Riesgos'!G417='Tablas AR'!$B$11,2,IF('Análisis de Riesgos'!G417='Tablas AR'!$B$12,3,"")))</f>
        <v/>
      </c>
      <c r="I417" s="26" t="str">
        <f t="shared" si="6"/>
        <v/>
      </c>
    </row>
    <row r="418" spans="2:9" x14ac:dyDescent="0.3">
      <c r="B418" s="27" t="str">
        <f>IFERROR(INDEX(Activos!$B$3:$C$16, MATCH(C418,Activos!$B$3:$B$16),2),"")</f>
        <v/>
      </c>
      <c r="C418" s="27"/>
      <c r="D418" s="27"/>
      <c r="E418" s="25"/>
      <c r="F418" s="26" t="str">
        <f>IF(E418='Tablas AR'!$B$4,1,IF('Análisis de Riesgos'!E418='Tablas AR'!$B$5,2,IF('Análisis de Riesgos'!E418='Tablas AR'!$B$6,3,"")))</f>
        <v/>
      </c>
      <c r="G418" s="25"/>
      <c r="H418" s="26" t="str">
        <f>IF(G418='Tablas AR'!$B$10,1,IF('Análisis de Riesgos'!G418='Tablas AR'!$B$11,2,IF('Análisis de Riesgos'!G418='Tablas AR'!$B$12,3,"")))</f>
        <v/>
      </c>
      <c r="I418" s="26" t="str">
        <f t="shared" si="6"/>
        <v/>
      </c>
    </row>
    <row r="419" spans="2:9" x14ac:dyDescent="0.3">
      <c r="B419" s="27" t="str">
        <f>IFERROR(INDEX(Activos!$B$3:$C$16, MATCH(C419,Activos!$B$3:$B$16),2),"")</f>
        <v/>
      </c>
      <c r="C419" s="27"/>
      <c r="D419" s="27"/>
      <c r="E419" s="25"/>
      <c r="F419" s="26" t="str">
        <f>IF(E419='Tablas AR'!$B$4,1,IF('Análisis de Riesgos'!E419='Tablas AR'!$B$5,2,IF('Análisis de Riesgos'!E419='Tablas AR'!$B$6,3,"")))</f>
        <v/>
      </c>
      <c r="G419" s="25"/>
      <c r="H419" s="26" t="str">
        <f>IF(G419='Tablas AR'!$B$10,1,IF('Análisis de Riesgos'!G419='Tablas AR'!$B$11,2,IF('Análisis de Riesgos'!G419='Tablas AR'!$B$12,3,"")))</f>
        <v/>
      </c>
      <c r="I419" s="26" t="str">
        <f t="shared" si="6"/>
        <v/>
      </c>
    </row>
    <row r="420" spans="2:9" x14ac:dyDescent="0.3">
      <c r="B420" s="27" t="str">
        <f>IFERROR(INDEX(Activos!$B$3:$C$16, MATCH(C420,Activos!$B$3:$B$16),2),"")</f>
        <v/>
      </c>
      <c r="C420" s="27"/>
      <c r="D420" s="27"/>
      <c r="E420" s="25"/>
      <c r="F420" s="26" t="str">
        <f>IF(E420='Tablas AR'!$B$4,1,IF('Análisis de Riesgos'!E420='Tablas AR'!$B$5,2,IF('Análisis de Riesgos'!E420='Tablas AR'!$B$6,3,"")))</f>
        <v/>
      </c>
      <c r="G420" s="25"/>
      <c r="H420" s="26" t="str">
        <f>IF(G420='Tablas AR'!$B$10,1,IF('Análisis de Riesgos'!G420='Tablas AR'!$B$11,2,IF('Análisis de Riesgos'!G420='Tablas AR'!$B$12,3,"")))</f>
        <v/>
      </c>
      <c r="I420" s="26" t="str">
        <f t="shared" si="6"/>
        <v/>
      </c>
    </row>
    <row r="421" spans="2:9" x14ac:dyDescent="0.3">
      <c r="B421" s="27" t="str">
        <f>IFERROR(INDEX(Activos!$B$3:$C$16, MATCH(C421,Activos!$B$3:$B$16),2),"")</f>
        <v/>
      </c>
      <c r="C421" s="27"/>
      <c r="D421" s="27"/>
      <c r="E421" s="25"/>
      <c r="F421" s="26" t="str">
        <f>IF(E421='Tablas AR'!$B$4,1,IF('Análisis de Riesgos'!E421='Tablas AR'!$B$5,2,IF('Análisis de Riesgos'!E421='Tablas AR'!$B$6,3,"")))</f>
        <v/>
      </c>
      <c r="G421" s="25"/>
      <c r="H421" s="26" t="str">
        <f>IF(G421='Tablas AR'!$B$10,1,IF('Análisis de Riesgos'!G421='Tablas AR'!$B$11,2,IF('Análisis de Riesgos'!G421='Tablas AR'!$B$12,3,"")))</f>
        <v/>
      </c>
      <c r="I421" s="26" t="str">
        <f t="shared" si="6"/>
        <v/>
      </c>
    </row>
    <row r="422" spans="2:9" x14ac:dyDescent="0.3">
      <c r="B422" s="27" t="str">
        <f>IFERROR(INDEX(Activos!$B$3:$C$16, MATCH(C422,Activos!$B$3:$B$16),2),"")</f>
        <v/>
      </c>
      <c r="C422" s="27"/>
      <c r="D422" s="27"/>
      <c r="E422" s="25"/>
      <c r="F422" s="26" t="str">
        <f>IF(E422='Tablas AR'!$B$4,1,IF('Análisis de Riesgos'!E422='Tablas AR'!$B$5,2,IF('Análisis de Riesgos'!E422='Tablas AR'!$B$6,3,"")))</f>
        <v/>
      </c>
      <c r="G422" s="25"/>
      <c r="H422" s="26" t="str">
        <f>IF(G422='Tablas AR'!$B$10,1,IF('Análisis de Riesgos'!G422='Tablas AR'!$B$11,2,IF('Análisis de Riesgos'!G422='Tablas AR'!$B$12,3,"")))</f>
        <v/>
      </c>
      <c r="I422" s="26" t="str">
        <f t="shared" si="6"/>
        <v/>
      </c>
    </row>
    <row r="423" spans="2:9" x14ac:dyDescent="0.3">
      <c r="B423" s="27" t="str">
        <f>IFERROR(INDEX(Activos!$B$3:$C$16, MATCH(C423,Activos!$B$3:$B$16),2),"")</f>
        <v/>
      </c>
      <c r="C423" s="27"/>
      <c r="D423" s="27"/>
      <c r="E423" s="25"/>
      <c r="F423" s="26" t="str">
        <f>IF(E423='Tablas AR'!$B$4,1,IF('Análisis de Riesgos'!E423='Tablas AR'!$B$5,2,IF('Análisis de Riesgos'!E423='Tablas AR'!$B$6,3,"")))</f>
        <v/>
      </c>
      <c r="G423" s="25"/>
      <c r="H423" s="26" t="str">
        <f>IF(G423='Tablas AR'!$B$10,1,IF('Análisis de Riesgos'!G423='Tablas AR'!$B$11,2,IF('Análisis de Riesgos'!G423='Tablas AR'!$B$12,3,"")))</f>
        <v/>
      </c>
      <c r="I423" s="26" t="str">
        <f t="shared" si="6"/>
        <v/>
      </c>
    </row>
    <row r="424" spans="2:9" x14ac:dyDescent="0.3">
      <c r="B424" s="27" t="str">
        <f>IFERROR(INDEX(Activos!$B$3:$C$16, MATCH(C424,Activos!$B$3:$B$16),2),"")</f>
        <v/>
      </c>
      <c r="C424" s="27"/>
      <c r="D424" s="27"/>
      <c r="E424" s="25"/>
      <c r="F424" s="26" t="str">
        <f>IF(E424='Tablas AR'!$B$4,1,IF('Análisis de Riesgos'!E424='Tablas AR'!$B$5,2,IF('Análisis de Riesgos'!E424='Tablas AR'!$B$6,3,"")))</f>
        <v/>
      </c>
      <c r="G424" s="25"/>
      <c r="H424" s="26" t="str">
        <f>IF(G424='Tablas AR'!$B$10,1,IF('Análisis de Riesgos'!G424='Tablas AR'!$B$11,2,IF('Análisis de Riesgos'!G424='Tablas AR'!$B$12,3,"")))</f>
        <v/>
      </c>
      <c r="I424" s="26" t="str">
        <f t="shared" si="6"/>
        <v/>
      </c>
    </row>
    <row r="425" spans="2:9" x14ac:dyDescent="0.3">
      <c r="B425" s="27" t="str">
        <f>IFERROR(INDEX(Activos!$B$3:$C$16, MATCH(C425,Activos!$B$3:$B$16),2),"")</f>
        <v/>
      </c>
      <c r="C425" s="27"/>
      <c r="D425" s="27"/>
      <c r="E425" s="25"/>
      <c r="F425" s="26" t="str">
        <f>IF(E425='Tablas AR'!$B$4,1,IF('Análisis de Riesgos'!E425='Tablas AR'!$B$5,2,IF('Análisis de Riesgos'!E425='Tablas AR'!$B$6,3,"")))</f>
        <v/>
      </c>
      <c r="G425" s="25"/>
      <c r="H425" s="26" t="str">
        <f>IF(G425='Tablas AR'!$B$10,1,IF('Análisis de Riesgos'!G425='Tablas AR'!$B$11,2,IF('Análisis de Riesgos'!G425='Tablas AR'!$B$12,3,"")))</f>
        <v/>
      </c>
      <c r="I425" s="26" t="str">
        <f t="shared" si="6"/>
        <v/>
      </c>
    </row>
    <row r="426" spans="2:9" x14ac:dyDescent="0.3">
      <c r="B426" s="27" t="str">
        <f>IFERROR(INDEX(Activos!$B$3:$C$16, MATCH(C426,Activos!$B$3:$B$16),2),"")</f>
        <v/>
      </c>
      <c r="C426" s="27"/>
      <c r="D426" s="27"/>
      <c r="E426" s="25"/>
      <c r="F426" s="26" t="str">
        <f>IF(E426='Tablas AR'!$B$4,1,IF('Análisis de Riesgos'!E426='Tablas AR'!$B$5,2,IF('Análisis de Riesgos'!E426='Tablas AR'!$B$6,3,"")))</f>
        <v/>
      </c>
      <c r="G426" s="25"/>
      <c r="H426" s="26" t="str">
        <f>IF(G426='Tablas AR'!$B$10,1,IF('Análisis de Riesgos'!G426='Tablas AR'!$B$11,2,IF('Análisis de Riesgos'!G426='Tablas AR'!$B$12,3,"")))</f>
        <v/>
      </c>
      <c r="I426" s="26" t="str">
        <f t="shared" si="6"/>
        <v/>
      </c>
    </row>
    <row r="427" spans="2:9" x14ac:dyDescent="0.3">
      <c r="B427" s="27" t="str">
        <f>IFERROR(INDEX(Activos!$B$3:$C$16, MATCH(C427,Activos!$B$3:$B$16),2),"")</f>
        <v/>
      </c>
      <c r="C427" s="27"/>
      <c r="D427" s="27"/>
      <c r="E427" s="25"/>
      <c r="F427" s="26" t="str">
        <f>IF(E427='Tablas AR'!$B$4,1,IF('Análisis de Riesgos'!E427='Tablas AR'!$B$5,2,IF('Análisis de Riesgos'!E427='Tablas AR'!$B$6,3,"")))</f>
        <v/>
      </c>
      <c r="G427" s="25"/>
      <c r="H427" s="26" t="str">
        <f>IF(G427='Tablas AR'!$B$10,1,IF('Análisis de Riesgos'!G427='Tablas AR'!$B$11,2,IF('Análisis de Riesgos'!G427='Tablas AR'!$B$12,3,"")))</f>
        <v/>
      </c>
      <c r="I427" s="26" t="str">
        <f t="shared" si="6"/>
        <v/>
      </c>
    </row>
    <row r="428" spans="2:9" x14ac:dyDescent="0.3">
      <c r="B428" s="27" t="str">
        <f>IFERROR(INDEX(Activos!$B$3:$C$16, MATCH(C428,Activos!$B$3:$B$16),2),"")</f>
        <v/>
      </c>
      <c r="C428" s="27"/>
      <c r="D428" s="27"/>
      <c r="E428" s="25"/>
      <c r="F428" s="26" t="str">
        <f>IF(E428='Tablas AR'!$B$4,1,IF('Análisis de Riesgos'!E428='Tablas AR'!$B$5,2,IF('Análisis de Riesgos'!E428='Tablas AR'!$B$6,3,"")))</f>
        <v/>
      </c>
      <c r="G428" s="25"/>
      <c r="H428" s="26" t="str">
        <f>IF(G428='Tablas AR'!$B$10,1,IF('Análisis de Riesgos'!G428='Tablas AR'!$B$11,2,IF('Análisis de Riesgos'!G428='Tablas AR'!$B$12,3,"")))</f>
        <v/>
      </c>
      <c r="I428" s="26" t="str">
        <f t="shared" si="6"/>
        <v/>
      </c>
    </row>
    <row r="429" spans="2:9" x14ac:dyDescent="0.3">
      <c r="B429" s="27" t="str">
        <f>IFERROR(INDEX(Activos!$B$3:$C$16, MATCH(C429,Activos!$B$3:$B$16),2),"")</f>
        <v/>
      </c>
      <c r="C429" s="27"/>
      <c r="D429" s="27"/>
      <c r="E429" s="25"/>
      <c r="F429" s="26" t="str">
        <f>IF(E429='Tablas AR'!$B$4,1,IF('Análisis de Riesgos'!E429='Tablas AR'!$B$5,2,IF('Análisis de Riesgos'!E429='Tablas AR'!$B$6,3,"")))</f>
        <v/>
      </c>
      <c r="G429" s="25"/>
      <c r="H429" s="26" t="str">
        <f>IF(G429='Tablas AR'!$B$10,1,IF('Análisis de Riesgos'!G429='Tablas AR'!$B$11,2,IF('Análisis de Riesgos'!G429='Tablas AR'!$B$12,3,"")))</f>
        <v/>
      </c>
      <c r="I429" s="26" t="str">
        <f t="shared" si="6"/>
        <v/>
      </c>
    </row>
    <row r="430" spans="2:9" x14ac:dyDescent="0.3">
      <c r="B430" s="27" t="str">
        <f>IFERROR(INDEX(Activos!$B$3:$C$16, MATCH(C430,Activos!$B$3:$B$16),2),"")</f>
        <v/>
      </c>
      <c r="C430" s="27"/>
      <c r="D430" s="27"/>
      <c r="E430" s="25"/>
      <c r="F430" s="26" t="str">
        <f>IF(E430='Tablas AR'!$B$4,1,IF('Análisis de Riesgos'!E430='Tablas AR'!$B$5,2,IF('Análisis de Riesgos'!E430='Tablas AR'!$B$6,3,"")))</f>
        <v/>
      </c>
      <c r="G430" s="25"/>
      <c r="H430" s="26" t="str">
        <f>IF(G430='Tablas AR'!$B$10,1,IF('Análisis de Riesgos'!G430='Tablas AR'!$B$11,2,IF('Análisis de Riesgos'!G430='Tablas AR'!$B$12,3,"")))</f>
        <v/>
      </c>
      <c r="I430" s="26" t="str">
        <f t="shared" si="6"/>
        <v/>
      </c>
    </row>
    <row r="431" spans="2:9" x14ac:dyDescent="0.3">
      <c r="B431" s="27" t="str">
        <f>IFERROR(INDEX(Activos!$B$3:$C$16, MATCH(C431,Activos!$B$3:$B$16),2),"")</f>
        <v/>
      </c>
      <c r="C431" s="27"/>
      <c r="D431" s="27"/>
      <c r="E431" s="25"/>
      <c r="F431" s="26" t="str">
        <f>IF(E431='Tablas AR'!$B$4,1,IF('Análisis de Riesgos'!E431='Tablas AR'!$B$5,2,IF('Análisis de Riesgos'!E431='Tablas AR'!$B$6,3,"")))</f>
        <v/>
      </c>
      <c r="G431" s="25"/>
      <c r="H431" s="26" t="str">
        <f>IF(G431='Tablas AR'!$B$10,1,IF('Análisis de Riesgos'!G431='Tablas AR'!$B$11,2,IF('Análisis de Riesgos'!G431='Tablas AR'!$B$12,3,"")))</f>
        <v/>
      </c>
      <c r="I431" s="26" t="str">
        <f t="shared" si="6"/>
        <v/>
      </c>
    </row>
    <row r="432" spans="2:9" x14ac:dyDescent="0.3">
      <c r="B432" s="27" t="str">
        <f>IFERROR(INDEX(Activos!$B$3:$C$16, MATCH(C432,Activos!$B$3:$B$16),2),"")</f>
        <v/>
      </c>
      <c r="C432" s="27"/>
      <c r="D432" s="27"/>
      <c r="E432" s="25"/>
      <c r="F432" s="26" t="str">
        <f>IF(E432='Tablas AR'!$B$4,1,IF('Análisis de Riesgos'!E432='Tablas AR'!$B$5,2,IF('Análisis de Riesgos'!E432='Tablas AR'!$B$6,3,"")))</f>
        <v/>
      </c>
      <c r="G432" s="25"/>
      <c r="H432" s="26" t="str">
        <f>IF(G432='Tablas AR'!$B$10,1,IF('Análisis de Riesgos'!G432='Tablas AR'!$B$11,2,IF('Análisis de Riesgos'!G432='Tablas AR'!$B$12,3,"")))</f>
        <v/>
      </c>
      <c r="I432" s="26" t="str">
        <f t="shared" si="6"/>
        <v/>
      </c>
    </row>
    <row r="433" spans="2:9" x14ac:dyDescent="0.3">
      <c r="B433" s="27" t="str">
        <f>IFERROR(INDEX(Activos!$B$3:$C$16, MATCH(C433,Activos!$B$3:$B$16),2),"")</f>
        <v/>
      </c>
      <c r="C433" s="27"/>
      <c r="D433" s="27"/>
      <c r="E433" s="25"/>
      <c r="F433" s="26" t="str">
        <f>IF(E433='Tablas AR'!$B$4,1,IF('Análisis de Riesgos'!E433='Tablas AR'!$B$5,2,IF('Análisis de Riesgos'!E433='Tablas AR'!$B$6,3,"")))</f>
        <v/>
      </c>
      <c r="G433" s="25"/>
      <c r="H433" s="26" t="str">
        <f>IF(G433='Tablas AR'!$B$10,1,IF('Análisis de Riesgos'!G433='Tablas AR'!$B$11,2,IF('Análisis de Riesgos'!G433='Tablas AR'!$B$12,3,"")))</f>
        <v/>
      </c>
      <c r="I433" s="26" t="str">
        <f t="shared" si="6"/>
        <v/>
      </c>
    </row>
    <row r="434" spans="2:9" x14ac:dyDescent="0.3">
      <c r="B434" s="27" t="str">
        <f>IFERROR(INDEX(Activos!$B$3:$C$16, MATCH(C434,Activos!$B$3:$B$16),2),"")</f>
        <v/>
      </c>
      <c r="C434" s="27"/>
      <c r="D434" s="27"/>
      <c r="E434" s="25"/>
      <c r="F434" s="26" t="str">
        <f>IF(E434='Tablas AR'!$B$4,1,IF('Análisis de Riesgos'!E434='Tablas AR'!$B$5,2,IF('Análisis de Riesgos'!E434='Tablas AR'!$B$6,3,"")))</f>
        <v/>
      </c>
      <c r="G434" s="25"/>
      <c r="H434" s="26" t="str">
        <f>IF(G434='Tablas AR'!$B$10,1,IF('Análisis de Riesgos'!G434='Tablas AR'!$B$11,2,IF('Análisis de Riesgos'!G434='Tablas AR'!$B$12,3,"")))</f>
        <v/>
      </c>
      <c r="I434" s="26" t="str">
        <f t="shared" si="6"/>
        <v/>
      </c>
    </row>
    <row r="435" spans="2:9" x14ac:dyDescent="0.3">
      <c r="B435" s="27" t="str">
        <f>IFERROR(INDEX(Activos!$B$3:$C$16, MATCH(C435,Activos!$B$3:$B$16),2),"")</f>
        <v/>
      </c>
      <c r="C435" s="27"/>
      <c r="D435" s="27"/>
      <c r="E435" s="25"/>
      <c r="F435" s="26" t="str">
        <f>IF(E435='Tablas AR'!$B$4,1,IF('Análisis de Riesgos'!E435='Tablas AR'!$B$5,2,IF('Análisis de Riesgos'!E435='Tablas AR'!$B$6,3,"")))</f>
        <v/>
      </c>
      <c r="G435" s="25"/>
      <c r="H435" s="26" t="str">
        <f>IF(G435='Tablas AR'!$B$10,1,IF('Análisis de Riesgos'!G435='Tablas AR'!$B$11,2,IF('Análisis de Riesgos'!G435='Tablas AR'!$B$12,3,"")))</f>
        <v/>
      </c>
      <c r="I435" s="26" t="str">
        <f t="shared" si="6"/>
        <v/>
      </c>
    </row>
    <row r="436" spans="2:9" x14ac:dyDescent="0.3">
      <c r="B436" s="27" t="str">
        <f>IFERROR(INDEX(Activos!$B$3:$C$16, MATCH(C436,Activos!$B$3:$B$16),2),"")</f>
        <v/>
      </c>
      <c r="C436" s="27"/>
      <c r="D436" s="27"/>
      <c r="E436" s="25"/>
      <c r="F436" s="26" t="str">
        <f>IF(E436='Tablas AR'!$B$4,1,IF('Análisis de Riesgos'!E436='Tablas AR'!$B$5,2,IF('Análisis de Riesgos'!E436='Tablas AR'!$B$6,3,"")))</f>
        <v/>
      </c>
      <c r="G436" s="25"/>
      <c r="H436" s="26" t="str">
        <f>IF(G436='Tablas AR'!$B$10,1,IF('Análisis de Riesgos'!G436='Tablas AR'!$B$11,2,IF('Análisis de Riesgos'!G436='Tablas AR'!$B$12,3,"")))</f>
        <v/>
      </c>
      <c r="I436" s="26" t="str">
        <f t="shared" si="6"/>
        <v/>
      </c>
    </row>
    <row r="437" spans="2:9" x14ac:dyDescent="0.3">
      <c r="B437" s="27" t="str">
        <f>IFERROR(INDEX(Activos!$B$3:$C$16, MATCH(C437,Activos!$B$3:$B$16),2),"")</f>
        <v/>
      </c>
      <c r="C437" s="27"/>
      <c r="D437" s="27"/>
      <c r="E437" s="25"/>
      <c r="F437" s="26" t="str">
        <f>IF(E437='Tablas AR'!$B$4,1,IF('Análisis de Riesgos'!E437='Tablas AR'!$B$5,2,IF('Análisis de Riesgos'!E437='Tablas AR'!$B$6,3,"")))</f>
        <v/>
      </c>
      <c r="G437" s="25"/>
      <c r="H437" s="26" t="str">
        <f>IF(G437='Tablas AR'!$B$10,1,IF('Análisis de Riesgos'!G437='Tablas AR'!$B$11,2,IF('Análisis de Riesgos'!G437='Tablas AR'!$B$12,3,"")))</f>
        <v/>
      </c>
      <c r="I437" s="26" t="str">
        <f t="shared" si="6"/>
        <v/>
      </c>
    </row>
    <row r="438" spans="2:9" x14ac:dyDescent="0.3">
      <c r="B438" s="27" t="str">
        <f>IFERROR(INDEX(Activos!$B$3:$C$16, MATCH(C438,Activos!$B$3:$B$16),2),"")</f>
        <v/>
      </c>
      <c r="C438" s="27"/>
      <c r="D438" s="27"/>
      <c r="E438" s="25"/>
      <c r="F438" s="26" t="str">
        <f>IF(E438='Tablas AR'!$B$4,1,IF('Análisis de Riesgos'!E438='Tablas AR'!$B$5,2,IF('Análisis de Riesgos'!E438='Tablas AR'!$B$6,3,"")))</f>
        <v/>
      </c>
      <c r="G438" s="25"/>
      <c r="H438" s="26" t="str">
        <f>IF(G438='Tablas AR'!$B$10,1,IF('Análisis de Riesgos'!G438='Tablas AR'!$B$11,2,IF('Análisis de Riesgos'!G438='Tablas AR'!$B$12,3,"")))</f>
        <v/>
      </c>
      <c r="I438" s="26" t="str">
        <f t="shared" si="6"/>
        <v/>
      </c>
    </row>
    <row r="439" spans="2:9" x14ac:dyDescent="0.3">
      <c r="B439" s="27" t="str">
        <f>IFERROR(INDEX(Activos!$B$3:$C$16, MATCH(C439,Activos!$B$3:$B$16),2),"")</f>
        <v/>
      </c>
      <c r="C439" s="27"/>
      <c r="D439" s="27"/>
      <c r="E439" s="25"/>
      <c r="F439" s="26" t="str">
        <f>IF(E439='Tablas AR'!$B$4,1,IF('Análisis de Riesgos'!E439='Tablas AR'!$B$5,2,IF('Análisis de Riesgos'!E439='Tablas AR'!$B$6,3,"")))</f>
        <v/>
      </c>
      <c r="G439" s="25"/>
      <c r="H439" s="26" t="str">
        <f>IF(G439='Tablas AR'!$B$10,1,IF('Análisis de Riesgos'!G439='Tablas AR'!$B$11,2,IF('Análisis de Riesgos'!G439='Tablas AR'!$B$12,3,"")))</f>
        <v/>
      </c>
      <c r="I439" s="26" t="str">
        <f t="shared" si="6"/>
        <v/>
      </c>
    </row>
    <row r="440" spans="2:9" x14ac:dyDescent="0.3">
      <c r="B440" s="27" t="str">
        <f>IFERROR(INDEX(Activos!$B$3:$C$16, MATCH(C440,Activos!$B$3:$B$16),2),"")</f>
        <v/>
      </c>
      <c r="C440" s="27"/>
      <c r="D440" s="27"/>
      <c r="E440" s="25"/>
      <c r="F440" s="26" t="str">
        <f>IF(E440='Tablas AR'!$B$4,1,IF('Análisis de Riesgos'!E440='Tablas AR'!$B$5,2,IF('Análisis de Riesgos'!E440='Tablas AR'!$B$6,3,"")))</f>
        <v/>
      </c>
      <c r="G440" s="25"/>
      <c r="H440" s="26" t="str">
        <f>IF(G440='Tablas AR'!$B$10,1,IF('Análisis de Riesgos'!G440='Tablas AR'!$B$11,2,IF('Análisis de Riesgos'!G440='Tablas AR'!$B$12,3,"")))</f>
        <v/>
      </c>
      <c r="I440" s="26" t="str">
        <f t="shared" si="6"/>
        <v/>
      </c>
    </row>
    <row r="441" spans="2:9" x14ac:dyDescent="0.3">
      <c r="B441" s="27" t="str">
        <f>IFERROR(INDEX(Activos!$B$3:$C$16, MATCH(C441,Activos!$B$3:$B$16),2),"")</f>
        <v/>
      </c>
      <c r="C441" s="27"/>
      <c r="D441" s="27"/>
      <c r="E441" s="25"/>
      <c r="F441" s="26" t="str">
        <f>IF(E441='Tablas AR'!$B$4,1,IF('Análisis de Riesgos'!E441='Tablas AR'!$B$5,2,IF('Análisis de Riesgos'!E441='Tablas AR'!$B$6,3,"")))</f>
        <v/>
      </c>
      <c r="G441" s="25"/>
      <c r="H441" s="26" t="str">
        <f>IF(G441='Tablas AR'!$B$10,1,IF('Análisis de Riesgos'!G441='Tablas AR'!$B$11,2,IF('Análisis de Riesgos'!G441='Tablas AR'!$B$12,3,"")))</f>
        <v/>
      </c>
      <c r="I441" s="26" t="str">
        <f t="shared" si="6"/>
        <v/>
      </c>
    </row>
    <row r="442" spans="2:9" x14ac:dyDescent="0.3">
      <c r="B442" s="27" t="str">
        <f>IFERROR(INDEX(Activos!$B$3:$C$16, MATCH(C442,Activos!$B$3:$B$16),2),"")</f>
        <v/>
      </c>
      <c r="C442" s="27"/>
      <c r="D442" s="27"/>
      <c r="E442" s="25"/>
      <c r="F442" s="26" t="str">
        <f>IF(E442='Tablas AR'!$B$4,1,IF('Análisis de Riesgos'!E442='Tablas AR'!$B$5,2,IF('Análisis de Riesgos'!E442='Tablas AR'!$B$6,3,"")))</f>
        <v/>
      </c>
      <c r="G442" s="25"/>
      <c r="H442" s="26" t="str">
        <f>IF(G442='Tablas AR'!$B$10,1,IF('Análisis de Riesgos'!G442='Tablas AR'!$B$11,2,IF('Análisis de Riesgos'!G442='Tablas AR'!$B$12,3,"")))</f>
        <v/>
      </c>
      <c r="I442" s="26" t="str">
        <f t="shared" si="6"/>
        <v/>
      </c>
    </row>
    <row r="443" spans="2:9" x14ac:dyDescent="0.3">
      <c r="B443" s="27" t="str">
        <f>IFERROR(INDEX(Activos!$B$3:$C$16, MATCH(C443,Activos!$B$3:$B$16),2),"")</f>
        <v/>
      </c>
      <c r="C443" s="27"/>
      <c r="D443" s="27"/>
      <c r="E443" s="25"/>
      <c r="F443" s="26" t="str">
        <f>IF(E443='Tablas AR'!$B$4,1,IF('Análisis de Riesgos'!E443='Tablas AR'!$B$5,2,IF('Análisis de Riesgos'!E443='Tablas AR'!$B$6,3,"")))</f>
        <v/>
      </c>
      <c r="G443" s="25"/>
      <c r="H443" s="26" t="str">
        <f>IF(G443='Tablas AR'!$B$10,1,IF('Análisis de Riesgos'!G443='Tablas AR'!$B$11,2,IF('Análisis de Riesgos'!G443='Tablas AR'!$B$12,3,"")))</f>
        <v/>
      </c>
      <c r="I443" s="26" t="str">
        <f t="shared" si="6"/>
        <v/>
      </c>
    </row>
    <row r="444" spans="2:9" x14ac:dyDescent="0.3">
      <c r="B444" s="27" t="str">
        <f>IFERROR(INDEX(Activos!$B$3:$C$16, MATCH(C444,Activos!$B$3:$B$16),2),"")</f>
        <v/>
      </c>
      <c r="C444" s="27"/>
      <c r="D444" s="27"/>
      <c r="E444" s="25"/>
      <c r="F444" s="26" t="str">
        <f>IF(E444='Tablas AR'!$B$4,1,IF('Análisis de Riesgos'!E444='Tablas AR'!$B$5,2,IF('Análisis de Riesgos'!E444='Tablas AR'!$B$6,3,"")))</f>
        <v/>
      </c>
      <c r="G444" s="25"/>
      <c r="H444" s="26" t="str">
        <f>IF(G444='Tablas AR'!$B$10,1,IF('Análisis de Riesgos'!G444='Tablas AR'!$B$11,2,IF('Análisis de Riesgos'!G444='Tablas AR'!$B$12,3,"")))</f>
        <v/>
      </c>
      <c r="I444" s="26" t="str">
        <f t="shared" si="6"/>
        <v/>
      </c>
    </row>
    <row r="445" spans="2:9" x14ac:dyDescent="0.3">
      <c r="B445" s="27" t="str">
        <f>IFERROR(INDEX(Activos!$B$3:$C$16, MATCH(C445,Activos!$B$3:$B$16),2),"")</f>
        <v/>
      </c>
      <c r="C445" s="27"/>
      <c r="D445" s="27"/>
      <c r="E445" s="25"/>
      <c r="F445" s="26" t="str">
        <f>IF(E445='Tablas AR'!$B$4,1,IF('Análisis de Riesgos'!E445='Tablas AR'!$B$5,2,IF('Análisis de Riesgos'!E445='Tablas AR'!$B$6,3,"")))</f>
        <v/>
      </c>
      <c r="G445" s="25"/>
      <c r="H445" s="26" t="str">
        <f>IF(G445='Tablas AR'!$B$10,1,IF('Análisis de Riesgos'!G445='Tablas AR'!$B$11,2,IF('Análisis de Riesgos'!G445='Tablas AR'!$B$12,3,"")))</f>
        <v/>
      </c>
      <c r="I445" s="26" t="str">
        <f t="shared" si="6"/>
        <v/>
      </c>
    </row>
    <row r="446" spans="2:9" x14ac:dyDescent="0.3">
      <c r="B446" s="27" t="str">
        <f>IFERROR(INDEX(Activos!$B$3:$C$16, MATCH(C446,Activos!$B$3:$B$16),2),"")</f>
        <v/>
      </c>
      <c r="C446" s="27"/>
      <c r="D446" s="27"/>
      <c r="E446" s="25"/>
      <c r="F446" s="26" t="str">
        <f>IF(E446='Tablas AR'!$B$4,1,IF('Análisis de Riesgos'!E446='Tablas AR'!$B$5,2,IF('Análisis de Riesgos'!E446='Tablas AR'!$B$6,3,"")))</f>
        <v/>
      </c>
      <c r="G446" s="25"/>
      <c r="H446" s="26" t="str">
        <f>IF(G446='Tablas AR'!$B$10,1,IF('Análisis de Riesgos'!G446='Tablas AR'!$B$11,2,IF('Análisis de Riesgos'!G446='Tablas AR'!$B$12,3,"")))</f>
        <v/>
      </c>
      <c r="I446" s="26" t="str">
        <f t="shared" si="6"/>
        <v/>
      </c>
    </row>
    <row r="447" spans="2:9" x14ac:dyDescent="0.3">
      <c r="B447" s="27" t="str">
        <f>IFERROR(INDEX(Activos!$B$3:$C$16, MATCH(C447,Activos!$B$3:$B$16),2),"")</f>
        <v/>
      </c>
      <c r="C447" s="27"/>
      <c r="D447" s="27"/>
      <c r="E447" s="25"/>
      <c r="F447" s="26" t="str">
        <f>IF(E447='Tablas AR'!$B$4,1,IF('Análisis de Riesgos'!E447='Tablas AR'!$B$5,2,IF('Análisis de Riesgos'!E447='Tablas AR'!$B$6,3,"")))</f>
        <v/>
      </c>
      <c r="G447" s="25"/>
      <c r="H447" s="26" t="str">
        <f>IF(G447='Tablas AR'!$B$10,1,IF('Análisis de Riesgos'!G447='Tablas AR'!$B$11,2,IF('Análisis de Riesgos'!G447='Tablas AR'!$B$12,3,"")))</f>
        <v/>
      </c>
      <c r="I447" s="26" t="str">
        <f t="shared" si="6"/>
        <v/>
      </c>
    </row>
    <row r="448" spans="2:9" x14ac:dyDescent="0.3">
      <c r="B448" s="27" t="str">
        <f>IFERROR(INDEX(Activos!$B$3:$C$16, MATCH(C448,Activos!$B$3:$B$16),2),"")</f>
        <v/>
      </c>
      <c r="C448" s="27"/>
      <c r="D448" s="27"/>
      <c r="E448" s="25"/>
      <c r="F448" s="26" t="str">
        <f>IF(E448='Tablas AR'!$B$4,1,IF('Análisis de Riesgos'!E448='Tablas AR'!$B$5,2,IF('Análisis de Riesgos'!E448='Tablas AR'!$B$6,3,"")))</f>
        <v/>
      </c>
      <c r="G448" s="25"/>
      <c r="H448" s="26" t="str">
        <f>IF(G448='Tablas AR'!$B$10,1,IF('Análisis de Riesgos'!G448='Tablas AR'!$B$11,2,IF('Análisis de Riesgos'!G448='Tablas AR'!$B$12,3,"")))</f>
        <v/>
      </c>
      <c r="I448" s="26" t="str">
        <f t="shared" si="6"/>
        <v/>
      </c>
    </row>
    <row r="449" spans="2:9" x14ac:dyDescent="0.3">
      <c r="B449" s="27" t="str">
        <f>IFERROR(INDEX(Activos!$B$3:$C$16, MATCH(C449,Activos!$B$3:$B$16),2),"")</f>
        <v/>
      </c>
      <c r="C449" s="27"/>
      <c r="D449" s="27"/>
      <c r="E449" s="25"/>
      <c r="F449" s="26" t="str">
        <f>IF(E449='Tablas AR'!$B$4,1,IF('Análisis de Riesgos'!E449='Tablas AR'!$B$5,2,IF('Análisis de Riesgos'!E449='Tablas AR'!$B$6,3,"")))</f>
        <v/>
      </c>
      <c r="G449" s="25"/>
      <c r="H449" s="26" t="str">
        <f>IF(G449='Tablas AR'!$B$10,1,IF('Análisis de Riesgos'!G449='Tablas AR'!$B$11,2,IF('Análisis de Riesgos'!G449='Tablas AR'!$B$12,3,"")))</f>
        <v/>
      </c>
      <c r="I449" s="26" t="str">
        <f t="shared" si="6"/>
        <v/>
      </c>
    </row>
    <row r="450" spans="2:9" x14ac:dyDescent="0.3">
      <c r="B450" s="27" t="str">
        <f>IFERROR(INDEX(Activos!$B$3:$C$16, MATCH(C450,Activos!$B$3:$B$16),2),"")</f>
        <v/>
      </c>
      <c r="C450" s="27"/>
      <c r="D450" s="27"/>
      <c r="E450" s="25"/>
      <c r="F450" s="26" t="str">
        <f>IF(E450='Tablas AR'!$B$4,1,IF('Análisis de Riesgos'!E450='Tablas AR'!$B$5,2,IF('Análisis de Riesgos'!E450='Tablas AR'!$B$6,3,"")))</f>
        <v/>
      </c>
      <c r="G450" s="25"/>
      <c r="H450" s="26" t="str">
        <f>IF(G450='Tablas AR'!$B$10,1,IF('Análisis de Riesgos'!G450='Tablas AR'!$B$11,2,IF('Análisis de Riesgos'!G450='Tablas AR'!$B$12,3,"")))</f>
        <v/>
      </c>
      <c r="I450" s="26" t="str">
        <f t="shared" si="6"/>
        <v/>
      </c>
    </row>
    <row r="451" spans="2:9" x14ac:dyDescent="0.3">
      <c r="B451" s="27" t="str">
        <f>IFERROR(INDEX(Activos!$B$3:$C$16, MATCH(C451,Activos!$B$3:$B$16),2),"")</f>
        <v/>
      </c>
      <c r="C451" s="27"/>
      <c r="D451" s="27"/>
      <c r="E451" s="25"/>
      <c r="F451" s="26" t="str">
        <f>IF(E451='Tablas AR'!$B$4,1,IF('Análisis de Riesgos'!E451='Tablas AR'!$B$5,2,IF('Análisis de Riesgos'!E451='Tablas AR'!$B$6,3,"")))</f>
        <v/>
      </c>
      <c r="G451" s="25"/>
      <c r="H451" s="26" t="str">
        <f>IF(G451='Tablas AR'!$B$10,1,IF('Análisis de Riesgos'!G451='Tablas AR'!$B$11,2,IF('Análisis de Riesgos'!G451='Tablas AR'!$B$12,3,"")))</f>
        <v/>
      </c>
      <c r="I451" s="26" t="str">
        <f t="shared" si="6"/>
        <v/>
      </c>
    </row>
    <row r="452" spans="2:9" x14ac:dyDescent="0.3">
      <c r="B452" s="27" t="str">
        <f>IFERROR(INDEX(Activos!$B$3:$C$16, MATCH(C452,Activos!$B$3:$B$16),2),"")</f>
        <v/>
      </c>
      <c r="C452" s="27"/>
      <c r="D452" s="27"/>
      <c r="E452" s="25"/>
      <c r="F452" s="26" t="str">
        <f>IF(E452='Tablas AR'!$B$4,1,IF('Análisis de Riesgos'!E452='Tablas AR'!$B$5,2,IF('Análisis de Riesgos'!E452='Tablas AR'!$B$6,3,"")))</f>
        <v/>
      </c>
      <c r="G452" s="25"/>
      <c r="H452" s="26" t="str">
        <f>IF(G452='Tablas AR'!$B$10,1,IF('Análisis de Riesgos'!G452='Tablas AR'!$B$11,2,IF('Análisis de Riesgos'!G452='Tablas AR'!$B$12,3,"")))</f>
        <v/>
      </c>
      <c r="I452" s="26" t="str">
        <f t="shared" ref="I452:I515" si="7" xml:space="preserve"> IFERROR(F452*H452,"")</f>
        <v/>
      </c>
    </row>
    <row r="453" spans="2:9" x14ac:dyDescent="0.3">
      <c r="B453" s="27" t="str">
        <f>IFERROR(INDEX(Activos!$B$3:$C$16, MATCH(C453,Activos!$B$3:$B$16),2),"")</f>
        <v/>
      </c>
      <c r="C453" s="27"/>
      <c r="D453" s="27"/>
      <c r="E453" s="25"/>
      <c r="F453" s="26" t="str">
        <f>IF(E453='Tablas AR'!$B$4,1,IF('Análisis de Riesgos'!E453='Tablas AR'!$B$5,2,IF('Análisis de Riesgos'!E453='Tablas AR'!$B$6,3,"")))</f>
        <v/>
      </c>
      <c r="G453" s="25"/>
      <c r="H453" s="26" t="str">
        <f>IF(G453='Tablas AR'!$B$10,1,IF('Análisis de Riesgos'!G453='Tablas AR'!$B$11,2,IF('Análisis de Riesgos'!G453='Tablas AR'!$B$12,3,"")))</f>
        <v/>
      </c>
      <c r="I453" s="26" t="str">
        <f t="shared" si="7"/>
        <v/>
      </c>
    </row>
    <row r="454" spans="2:9" x14ac:dyDescent="0.3">
      <c r="B454" s="27" t="str">
        <f>IFERROR(INDEX(Activos!$B$3:$C$16, MATCH(C454,Activos!$B$3:$B$16),2),"")</f>
        <v/>
      </c>
      <c r="C454" s="27"/>
      <c r="D454" s="27"/>
      <c r="E454" s="25"/>
      <c r="F454" s="26" t="str">
        <f>IF(E454='Tablas AR'!$B$4,1,IF('Análisis de Riesgos'!E454='Tablas AR'!$B$5,2,IF('Análisis de Riesgos'!E454='Tablas AR'!$B$6,3,"")))</f>
        <v/>
      </c>
      <c r="G454" s="25"/>
      <c r="H454" s="26" t="str">
        <f>IF(G454='Tablas AR'!$B$10,1,IF('Análisis de Riesgos'!G454='Tablas AR'!$B$11,2,IF('Análisis de Riesgos'!G454='Tablas AR'!$B$12,3,"")))</f>
        <v/>
      </c>
      <c r="I454" s="26" t="str">
        <f t="shared" si="7"/>
        <v/>
      </c>
    </row>
    <row r="455" spans="2:9" x14ac:dyDescent="0.3">
      <c r="B455" s="27" t="str">
        <f>IFERROR(INDEX(Activos!$B$3:$C$16, MATCH(C455,Activos!$B$3:$B$16),2),"")</f>
        <v/>
      </c>
      <c r="C455" s="27"/>
      <c r="D455" s="27"/>
      <c r="E455" s="25"/>
      <c r="F455" s="26" t="str">
        <f>IF(E455='Tablas AR'!$B$4,1,IF('Análisis de Riesgos'!E455='Tablas AR'!$B$5,2,IF('Análisis de Riesgos'!E455='Tablas AR'!$B$6,3,"")))</f>
        <v/>
      </c>
      <c r="G455" s="25"/>
      <c r="H455" s="26" t="str">
        <f>IF(G455='Tablas AR'!$B$10,1,IF('Análisis de Riesgos'!G455='Tablas AR'!$B$11,2,IF('Análisis de Riesgos'!G455='Tablas AR'!$B$12,3,"")))</f>
        <v/>
      </c>
      <c r="I455" s="26" t="str">
        <f t="shared" si="7"/>
        <v/>
      </c>
    </row>
    <row r="456" spans="2:9" x14ac:dyDescent="0.3">
      <c r="B456" s="27" t="str">
        <f>IFERROR(INDEX(Activos!$B$3:$C$16, MATCH(C456,Activos!$B$3:$B$16),2),"")</f>
        <v/>
      </c>
      <c r="C456" s="27"/>
      <c r="D456" s="27"/>
      <c r="E456" s="25"/>
      <c r="F456" s="26" t="str">
        <f>IF(E456='Tablas AR'!$B$4,1,IF('Análisis de Riesgos'!E456='Tablas AR'!$B$5,2,IF('Análisis de Riesgos'!E456='Tablas AR'!$B$6,3,"")))</f>
        <v/>
      </c>
      <c r="G456" s="25"/>
      <c r="H456" s="26" t="str">
        <f>IF(G456='Tablas AR'!$B$10,1,IF('Análisis de Riesgos'!G456='Tablas AR'!$B$11,2,IF('Análisis de Riesgos'!G456='Tablas AR'!$B$12,3,"")))</f>
        <v/>
      </c>
      <c r="I456" s="26" t="str">
        <f t="shared" si="7"/>
        <v/>
      </c>
    </row>
    <row r="457" spans="2:9" x14ac:dyDescent="0.3">
      <c r="B457" s="27" t="str">
        <f>IFERROR(INDEX(Activos!$B$3:$C$16, MATCH(C457,Activos!$B$3:$B$16),2),"")</f>
        <v/>
      </c>
      <c r="C457" s="27"/>
      <c r="D457" s="27"/>
      <c r="E457" s="25"/>
      <c r="F457" s="26" t="str">
        <f>IF(E457='Tablas AR'!$B$4,1,IF('Análisis de Riesgos'!E457='Tablas AR'!$B$5,2,IF('Análisis de Riesgos'!E457='Tablas AR'!$B$6,3,"")))</f>
        <v/>
      </c>
      <c r="G457" s="25"/>
      <c r="H457" s="26" t="str">
        <f>IF(G457='Tablas AR'!$B$10,1,IF('Análisis de Riesgos'!G457='Tablas AR'!$B$11,2,IF('Análisis de Riesgos'!G457='Tablas AR'!$B$12,3,"")))</f>
        <v/>
      </c>
      <c r="I457" s="26" t="str">
        <f t="shared" si="7"/>
        <v/>
      </c>
    </row>
    <row r="458" spans="2:9" x14ac:dyDescent="0.3">
      <c r="B458" s="27" t="str">
        <f>IFERROR(INDEX(Activos!$B$3:$C$16, MATCH(C458,Activos!$B$3:$B$16),2),"")</f>
        <v/>
      </c>
      <c r="C458" s="27"/>
      <c r="D458" s="27"/>
      <c r="E458" s="25"/>
      <c r="F458" s="26" t="str">
        <f>IF(E458='Tablas AR'!$B$4,1,IF('Análisis de Riesgos'!E458='Tablas AR'!$B$5,2,IF('Análisis de Riesgos'!E458='Tablas AR'!$B$6,3,"")))</f>
        <v/>
      </c>
      <c r="G458" s="25"/>
      <c r="H458" s="26" t="str">
        <f>IF(G458='Tablas AR'!$B$10,1,IF('Análisis de Riesgos'!G458='Tablas AR'!$B$11,2,IF('Análisis de Riesgos'!G458='Tablas AR'!$B$12,3,"")))</f>
        <v/>
      </c>
      <c r="I458" s="26" t="str">
        <f t="shared" si="7"/>
        <v/>
      </c>
    </row>
    <row r="459" spans="2:9" x14ac:dyDescent="0.3">
      <c r="B459" s="27" t="str">
        <f>IFERROR(INDEX(Activos!$B$3:$C$16, MATCH(C459,Activos!$B$3:$B$16),2),"")</f>
        <v/>
      </c>
      <c r="C459" s="27"/>
      <c r="D459" s="27"/>
      <c r="E459" s="25"/>
      <c r="F459" s="26" t="str">
        <f>IF(E459='Tablas AR'!$B$4,1,IF('Análisis de Riesgos'!E459='Tablas AR'!$B$5,2,IF('Análisis de Riesgos'!E459='Tablas AR'!$B$6,3,"")))</f>
        <v/>
      </c>
      <c r="G459" s="25"/>
      <c r="H459" s="26" t="str">
        <f>IF(G459='Tablas AR'!$B$10,1,IF('Análisis de Riesgos'!G459='Tablas AR'!$B$11,2,IF('Análisis de Riesgos'!G459='Tablas AR'!$B$12,3,"")))</f>
        <v/>
      </c>
      <c r="I459" s="26" t="str">
        <f t="shared" si="7"/>
        <v/>
      </c>
    </row>
    <row r="460" spans="2:9" x14ac:dyDescent="0.3">
      <c r="B460" s="27" t="str">
        <f>IFERROR(INDEX(Activos!$B$3:$C$16, MATCH(C460,Activos!$B$3:$B$16),2),"")</f>
        <v/>
      </c>
      <c r="C460" s="27"/>
      <c r="D460" s="27"/>
      <c r="E460" s="25"/>
      <c r="F460" s="26" t="str">
        <f>IF(E460='Tablas AR'!$B$4,1,IF('Análisis de Riesgos'!E460='Tablas AR'!$B$5,2,IF('Análisis de Riesgos'!E460='Tablas AR'!$B$6,3,"")))</f>
        <v/>
      </c>
      <c r="G460" s="25"/>
      <c r="H460" s="26" t="str">
        <f>IF(G460='Tablas AR'!$B$10,1,IF('Análisis de Riesgos'!G460='Tablas AR'!$B$11,2,IF('Análisis de Riesgos'!G460='Tablas AR'!$B$12,3,"")))</f>
        <v/>
      </c>
      <c r="I460" s="26" t="str">
        <f t="shared" si="7"/>
        <v/>
      </c>
    </row>
    <row r="461" spans="2:9" x14ac:dyDescent="0.3">
      <c r="B461" s="27" t="str">
        <f>IFERROR(INDEX(Activos!$B$3:$C$16, MATCH(C461,Activos!$B$3:$B$16),2),"")</f>
        <v/>
      </c>
      <c r="C461" s="27"/>
      <c r="D461" s="27"/>
      <c r="E461" s="25"/>
      <c r="F461" s="26" t="str">
        <f>IF(E461='Tablas AR'!$B$4,1,IF('Análisis de Riesgos'!E461='Tablas AR'!$B$5,2,IF('Análisis de Riesgos'!E461='Tablas AR'!$B$6,3,"")))</f>
        <v/>
      </c>
      <c r="G461" s="25"/>
      <c r="H461" s="26" t="str">
        <f>IF(G461='Tablas AR'!$B$10,1,IF('Análisis de Riesgos'!G461='Tablas AR'!$B$11,2,IF('Análisis de Riesgos'!G461='Tablas AR'!$B$12,3,"")))</f>
        <v/>
      </c>
      <c r="I461" s="26" t="str">
        <f t="shared" si="7"/>
        <v/>
      </c>
    </row>
    <row r="462" spans="2:9" x14ac:dyDescent="0.3">
      <c r="B462" s="27" t="str">
        <f>IFERROR(INDEX(Activos!$B$3:$C$16, MATCH(C462,Activos!$B$3:$B$16),2),"")</f>
        <v/>
      </c>
      <c r="C462" s="27"/>
      <c r="D462" s="27"/>
      <c r="E462" s="25"/>
      <c r="F462" s="26" t="str">
        <f>IF(E462='Tablas AR'!$B$4,1,IF('Análisis de Riesgos'!E462='Tablas AR'!$B$5,2,IF('Análisis de Riesgos'!E462='Tablas AR'!$B$6,3,"")))</f>
        <v/>
      </c>
      <c r="G462" s="25"/>
      <c r="H462" s="26" t="str">
        <f>IF(G462='Tablas AR'!$B$10,1,IF('Análisis de Riesgos'!G462='Tablas AR'!$B$11,2,IF('Análisis de Riesgos'!G462='Tablas AR'!$B$12,3,"")))</f>
        <v/>
      </c>
      <c r="I462" s="26" t="str">
        <f t="shared" si="7"/>
        <v/>
      </c>
    </row>
    <row r="463" spans="2:9" x14ac:dyDescent="0.3">
      <c r="B463" s="27" t="str">
        <f>IFERROR(INDEX(Activos!$B$3:$C$16, MATCH(C463,Activos!$B$3:$B$16),2),"")</f>
        <v/>
      </c>
      <c r="C463" s="27"/>
      <c r="D463" s="27"/>
      <c r="E463" s="25"/>
      <c r="F463" s="26" t="str">
        <f>IF(E463='Tablas AR'!$B$4,1,IF('Análisis de Riesgos'!E463='Tablas AR'!$B$5,2,IF('Análisis de Riesgos'!E463='Tablas AR'!$B$6,3,"")))</f>
        <v/>
      </c>
      <c r="G463" s="25"/>
      <c r="H463" s="26" t="str">
        <f>IF(G463='Tablas AR'!$B$10,1,IF('Análisis de Riesgos'!G463='Tablas AR'!$B$11,2,IF('Análisis de Riesgos'!G463='Tablas AR'!$B$12,3,"")))</f>
        <v/>
      </c>
      <c r="I463" s="26" t="str">
        <f t="shared" si="7"/>
        <v/>
      </c>
    </row>
    <row r="464" spans="2:9" x14ac:dyDescent="0.3">
      <c r="B464" s="27" t="str">
        <f>IFERROR(INDEX(Activos!$B$3:$C$16, MATCH(C464,Activos!$B$3:$B$16),2),"")</f>
        <v/>
      </c>
      <c r="C464" s="27"/>
      <c r="D464" s="27"/>
      <c r="E464" s="25"/>
      <c r="F464" s="26" t="str">
        <f>IF(E464='Tablas AR'!$B$4,1,IF('Análisis de Riesgos'!E464='Tablas AR'!$B$5,2,IF('Análisis de Riesgos'!E464='Tablas AR'!$B$6,3,"")))</f>
        <v/>
      </c>
      <c r="G464" s="25"/>
      <c r="H464" s="26" t="str">
        <f>IF(G464='Tablas AR'!$B$10,1,IF('Análisis de Riesgos'!G464='Tablas AR'!$B$11,2,IF('Análisis de Riesgos'!G464='Tablas AR'!$B$12,3,"")))</f>
        <v/>
      </c>
      <c r="I464" s="26" t="str">
        <f t="shared" si="7"/>
        <v/>
      </c>
    </row>
    <row r="465" spans="2:9" x14ac:dyDescent="0.3">
      <c r="B465" s="27" t="str">
        <f>IFERROR(INDEX(Activos!$B$3:$C$16, MATCH(C465,Activos!$B$3:$B$16),2),"")</f>
        <v/>
      </c>
      <c r="C465" s="27"/>
      <c r="D465" s="27"/>
      <c r="E465" s="25"/>
      <c r="F465" s="26" t="str">
        <f>IF(E465='Tablas AR'!$B$4,1,IF('Análisis de Riesgos'!E465='Tablas AR'!$B$5,2,IF('Análisis de Riesgos'!E465='Tablas AR'!$B$6,3,"")))</f>
        <v/>
      </c>
      <c r="G465" s="25"/>
      <c r="H465" s="26" t="str">
        <f>IF(G465='Tablas AR'!$B$10,1,IF('Análisis de Riesgos'!G465='Tablas AR'!$B$11,2,IF('Análisis de Riesgos'!G465='Tablas AR'!$B$12,3,"")))</f>
        <v/>
      </c>
      <c r="I465" s="26" t="str">
        <f t="shared" si="7"/>
        <v/>
      </c>
    </row>
    <row r="466" spans="2:9" x14ac:dyDescent="0.3">
      <c r="B466" s="27" t="str">
        <f>IFERROR(INDEX(Activos!$B$3:$C$16, MATCH(C466,Activos!$B$3:$B$16),2),"")</f>
        <v/>
      </c>
      <c r="C466" s="27"/>
      <c r="D466" s="27"/>
      <c r="E466" s="25"/>
      <c r="F466" s="26" t="str">
        <f>IF(E466='Tablas AR'!$B$4,1,IF('Análisis de Riesgos'!E466='Tablas AR'!$B$5,2,IF('Análisis de Riesgos'!E466='Tablas AR'!$B$6,3,"")))</f>
        <v/>
      </c>
      <c r="G466" s="25"/>
      <c r="H466" s="26" t="str">
        <f>IF(G466='Tablas AR'!$B$10,1,IF('Análisis de Riesgos'!G466='Tablas AR'!$B$11,2,IF('Análisis de Riesgos'!G466='Tablas AR'!$B$12,3,"")))</f>
        <v/>
      </c>
      <c r="I466" s="26" t="str">
        <f t="shared" si="7"/>
        <v/>
      </c>
    </row>
    <row r="467" spans="2:9" x14ac:dyDescent="0.3">
      <c r="B467" s="27" t="str">
        <f>IFERROR(INDEX(Activos!$B$3:$C$16, MATCH(C467,Activos!$B$3:$B$16),2),"")</f>
        <v/>
      </c>
      <c r="C467" s="27"/>
      <c r="D467" s="27"/>
      <c r="E467" s="25"/>
      <c r="F467" s="26" t="str">
        <f>IF(E467='Tablas AR'!$B$4,1,IF('Análisis de Riesgos'!E467='Tablas AR'!$B$5,2,IF('Análisis de Riesgos'!E467='Tablas AR'!$B$6,3,"")))</f>
        <v/>
      </c>
      <c r="G467" s="25"/>
      <c r="H467" s="26" t="str">
        <f>IF(G467='Tablas AR'!$B$10,1,IF('Análisis de Riesgos'!G467='Tablas AR'!$B$11,2,IF('Análisis de Riesgos'!G467='Tablas AR'!$B$12,3,"")))</f>
        <v/>
      </c>
      <c r="I467" s="26" t="str">
        <f t="shared" si="7"/>
        <v/>
      </c>
    </row>
    <row r="468" spans="2:9" x14ac:dyDescent="0.3">
      <c r="B468" s="27" t="str">
        <f>IFERROR(INDEX(Activos!$B$3:$C$16, MATCH(C468,Activos!$B$3:$B$16),2),"")</f>
        <v/>
      </c>
      <c r="C468" s="27"/>
      <c r="D468" s="27"/>
      <c r="E468" s="25"/>
      <c r="F468" s="26" t="str">
        <f>IF(E468='Tablas AR'!$B$4,1,IF('Análisis de Riesgos'!E468='Tablas AR'!$B$5,2,IF('Análisis de Riesgos'!E468='Tablas AR'!$B$6,3,"")))</f>
        <v/>
      </c>
      <c r="G468" s="25"/>
      <c r="H468" s="26" t="str">
        <f>IF(G468='Tablas AR'!$B$10,1,IF('Análisis de Riesgos'!G468='Tablas AR'!$B$11,2,IF('Análisis de Riesgos'!G468='Tablas AR'!$B$12,3,"")))</f>
        <v/>
      </c>
      <c r="I468" s="26" t="str">
        <f t="shared" si="7"/>
        <v/>
      </c>
    </row>
    <row r="469" spans="2:9" x14ac:dyDescent="0.3">
      <c r="B469" s="27" t="str">
        <f>IFERROR(INDEX(Activos!$B$3:$C$16, MATCH(C469,Activos!$B$3:$B$16),2),"")</f>
        <v/>
      </c>
      <c r="C469" s="27"/>
      <c r="D469" s="27"/>
      <c r="E469" s="25"/>
      <c r="F469" s="26" t="str">
        <f>IF(E469='Tablas AR'!$B$4,1,IF('Análisis de Riesgos'!E469='Tablas AR'!$B$5,2,IF('Análisis de Riesgos'!E469='Tablas AR'!$B$6,3,"")))</f>
        <v/>
      </c>
      <c r="G469" s="25"/>
      <c r="H469" s="26" t="str">
        <f>IF(G469='Tablas AR'!$B$10,1,IF('Análisis de Riesgos'!G469='Tablas AR'!$B$11,2,IF('Análisis de Riesgos'!G469='Tablas AR'!$B$12,3,"")))</f>
        <v/>
      </c>
      <c r="I469" s="26" t="str">
        <f t="shared" si="7"/>
        <v/>
      </c>
    </row>
    <row r="470" spans="2:9" x14ac:dyDescent="0.3">
      <c r="B470" s="27" t="str">
        <f>IFERROR(INDEX(Activos!$B$3:$C$16, MATCH(C470,Activos!$B$3:$B$16),2),"")</f>
        <v/>
      </c>
      <c r="C470" s="27"/>
      <c r="D470" s="27"/>
      <c r="E470" s="25"/>
      <c r="F470" s="26" t="str">
        <f>IF(E470='Tablas AR'!$B$4,1,IF('Análisis de Riesgos'!E470='Tablas AR'!$B$5,2,IF('Análisis de Riesgos'!E470='Tablas AR'!$B$6,3,"")))</f>
        <v/>
      </c>
      <c r="G470" s="25"/>
      <c r="H470" s="26" t="str">
        <f>IF(G470='Tablas AR'!$B$10,1,IF('Análisis de Riesgos'!G470='Tablas AR'!$B$11,2,IF('Análisis de Riesgos'!G470='Tablas AR'!$B$12,3,"")))</f>
        <v/>
      </c>
      <c r="I470" s="26" t="str">
        <f t="shared" si="7"/>
        <v/>
      </c>
    </row>
    <row r="471" spans="2:9" x14ac:dyDescent="0.3">
      <c r="B471" s="27" t="str">
        <f>IFERROR(INDEX(Activos!$B$3:$C$16, MATCH(C471,Activos!$B$3:$B$16),2),"")</f>
        <v/>
      </c>
      <c r="C471" s="27"/>
      <c r="D471" s="27"/>
      <c r="E471" s="25"/>
      <c r="F471" s="26" t="str">
        <f>IF(E471='Tablas AR'!$B$4,1,IF('Análisis de Riesgos'!E471='Tablas AR'!$B$5,2,IF('Análisis de Riesgos'!E471='Tablas AR'!$B$6,3,"")))</f>
        <v/>
      </c>
      <c r="G471" s="25"/>
      <c r="H471" s="26" t="str">
        <f>IF(G471='Tablas AR'!$B$10,1,IF('Análisis de Riesgos'!G471='Tablas AR'!$B$11,2,IF('Análisis de Riesgos'!G471='Tablas AR'!$B$12,3,"")))</f>
        <v/>
      </c>
      <c r="I471" s="26" t="str">
        <f t="shared" si="7"/>
        <v/>
      </c>
    </row>
    <row r="472" spans="2:9" x14ac:dyDescent="0.3">
      <c r="B472" s="27" t="str">
        <f>IFERROR(INDEX(Activos!$B$3:$C$16, MATCH(C472,Activos!$B$3:$B$16),2),"")</f>
        <v/>
      </c>
      <c r="C472" s="27"/>
      <c r="D472" s="27"/>
      <c r="E472" s="25"/>
      <c r="F472" s="26" t="str">
        <f>IF(E472='Tablas AR'!$B$4,1,IF('Análisis de Riesgos'!E472='Tablas AR'!$B$5,2,IF('Análisis de Riesgos'!E472='Tablas AR'!$B$6,3,"")))</f>
        <v/>
      </c>
      <c r="G472" s="25"/>
      <c r="H472" s="26" t="str">
        <f>IF(G472='Tablas AR'!$B$10,1,IF('Análisis de Riesgos'!G472='Tablas AR'!$B$11,2,IF('Análisis de Riesgos'!G472='Tablas AR'!$B$12,3,"")))</f>
        <v/>
      </c>
      <c r="I472" s="26" t="str">
        <f t="shared" si="7"/>
        <v/>
      </c>
    </row>
    <row r="473" spans="2:9" x14ac:dyDescent="0.3">
      <c r="B473" s="27" t="str">
        <f>IFERROR(INDEX(Activos!$B$3:$C$16, MATCH(C473,Activos!$B$3:$B$16),2),"")</f>
        <v/>
      </c>
      <c r="C473" s="27"/>
      <c r="D473" s="27"/>
      <c r="E473" s="25"/>
      <c r="F473" s="26" t="str">
        <f>IF(E473='Tablas AR'!$B$4,1,IF('Análisis de Riesgos'!E473='Tablas AR'!$B$5,2,IF('Análisis de Riesgos'!E473='Tablas AR'!$B$6,3,"")))</f>
        <v/>
      </c>
      <c r="G473" s="25"/>
      <c r="H473" s="26" t="str">
        <f>IF(G473='Tablas AR'!$B$10,1,IF('Análisis de Riesgos'!G473='Tablas AR'!$B$11,2,IF('Análisis de Riesgos'!G473='Tablas AR'!$B$12,3,"")))</f>
        <v/>
      </c>
      <c r="I473" s="26" t="str">
        <f t="shared" si="7"/>
        <v/>
      </c>
    </row>
    <row r="474" spans="2:9" x14ac:dyDescent="0.3">
      <c r="B474" s="27" t="str">
        <f>IFERROR(INDEX(Activos!$B$3:$C$16, MATCH(C474,Activos!$B$3:$B$16),2),"")</f>
        <v/>
      </c>
      <c r="C474" s="27"/>
      <c r="D474" s="27"/>
      <c r="E474" s="25"/>
      <c r="F474" s="26" t="str">
        <f>IF(E474='Tablas AR'!$B$4,1,IF('Análisis de Riesgos'!E474='Tablas AR'!$B$5,2,IF('Análisis de Riesgos'!E474='Tablas AR'!$B$6,3,"")))</f>
        <v/>
      </c>
      <c r="G474" s="25"/>
      <c r="H474" s="26" t="str">
        <f>IF(G474='Tablas AR'!$B$10,1,IF('Análisis de Riesgos'!G474='Tablas AR'!$B$11,2,IF('Análisis de Riesgos'!G474='Tablas AR'!$B$12,3,"")))</f>
        <v/>
      </c>
      <c r="I474" s="26" t="str">
        <f t="shared" si="7"/>
        <v/>
      </c>
    </row>
    <row r="475" spans="2:9" x14ac:dyDescent="0.3">
      <c r="B475" s="27" t="str">
        <f>IFERROR(INDEX(Activos!$B$3:$C$16, MATCH(C475,Activos!$B$3:$B$16),2),"")</f>
        <v/>
      </c>
      <c r="C475" s="27"/>
      <c r="D475" s="27"/>
      <c r="E475" s="25"/>
      <c r="F475" s="26" t="str">
        <f>IF(E475='Tablas AR'!$B$4,1,IF('Análisis de Riesgos'!E475='Tablas AR'!$B$5,2,IF('Análisis de Riesgos'!E475='Tablas AR'!$B$6,3,"")))</f>
        <v/>
      </c>
      <c r="G475" s="25"/>
      <c r="H475" s="26" t="str">
        <f>IF(G475='Tablas AR'!$B$10,1,IF('Análisis de Riesgos'!G475='Tablas AR'!$B$11,2,IF('Análisis de Riesgos'!G475='Tablas AR'!$B$12,3,"")))</f>
        <v/>
      </c>
      <c r="I475" s="26" t="str">
        <f t="shared" si="7"/>
        <v/>
      </c>
    </row>
    <row r="476" spans="2:9" x14ac:dyDescent="0.3">
      <c r="B476" s="27" t="str">
        <f>IFERROR(INDEX(Activos!$B$3:$C$16, MATCH(C476,Activos!$B$3:$B$16),2),"")</f>
        <v/>
      </c>
      <c r="C476" s="27"/>
      <c r="D476" s="27"/>
      <c r="E476" s="25"/>
      <c r="F476" s="26" t="str">
        <f>IF(E476='Tablas AR'!$B$4,1,IF('Análisis de Riesgos'!E476='Tablas AR'!$B$5,2,IF('Análisis de Riesgos'!E476='Tablas AR'!$B$6,3,"")))</f>
        <v/>
      </c>
      <c r="G476" s="25"/>
      <c r="H476" s="26" t="str">
        <f>IF(G476='Tablas AR'!$B$10,1,IF('Análisis de Riesgos'!G476='Tablas AR'!$B$11,2,IF('Análisis de Riesgos'!G476='Tablas AR'!$B$12,3,"")))</f>
        <v/>
      </c>
      <c r="I476" s="26" t="str">
        <f t="shared" si="7"/>
        <v/>
      </c>
    </row>
    <row r="477" spans="2:9" x14ac:dyDescent="0.3">
      <c r="B477" s="27" t="str">
        <f>IFERROR(INDEX(Activos!$B$3:$C$16, MATCH(C477,Activos!$B$3:$B$16),2),"")</f>
        <v/>
      </c>
      <c r="C477" s="27"/>
      <c r="D477" s="27"/>
      <c r="E477" s="25"/>
      <c r="F477" s="26" t="str">
        <f>IF(E477='Tablas AR'!$B$4,1,IF('Análisis de Riesgos'!E477='Tablas AR'!$B$5,2,IF('Análisis de Riesgos'!E477='Tablas AR'!$B$6,3,"")))</f>
        <v/>
      </c>
      <c r="G477" s="25"/>
      <c r="H477" s="26" t="str">
        <f>IF(G477='Tablas AR'!$B$10,1,IF('Análisis de Riesgos'!G477='Tablas AR'!$B$11,2,IF('Análisis de Riesgos'!G477='Tablas AR'!$B$12,3,"")))</f>
        <v/>
      </c>
      <c r="I477" s="26" t="str">
        <f t="shared" si="7"/>
        <v/>
      </c>
    </row>
    <row r="478" spans="2:9" x14ac:dyDescent="0.3">
      <c r="B478" s="27" t="str">
        <f>IFERROR(INDEX(Activos!$B$3:$C$16, MATCH(C478,Activos!$B$3:$B$16),2),"")</f>
        <v/>
      </c>
      <c r="C478" s="27"/>
      <c r="D478" s="27"/>
      <c r="E478" s="25"/>
      <c r="F478" s="26" t="str">
        <f>IF(E478='Tablas AR'!$B$4,1,IF('Análisis de Riesgos'!E478='Tablas AR'!$B$5,2,IF('Análisis de Riesgos'!E478='Tablas AR'!$B$6,3,"")))</f>
        <v/>
      </c>
      <c r="G478" s="25"/>
      <c r="H478" s="26" t="str">
        <f>IF(G478='Tablas AR'!$B$10,1,IF('Análisis de Riesgos'!G478='Tablas AR'!$B$11,2,IF('Análisis de Riesgos'!G478='Tablas AR'!$B$12,3,"")))</f>
        <v/>
      </c>
      <c r="I478" s="26" t="str">
        <f t="shared" si="7"/>
        <v/>
      </c>
    </row>
    <row r="479" spans="2:9" x14ac:dyDescent="0.3">
      <c r="B479" s="27" t="str">
        <f>IFERROR(INDEX(Activos!$B$3:$C$16, MATCH(C479,Activos!$B$3:$B$16),2),"")</f>
        <v/>
      </c>
      <c r="C479" s="27"/>
      <c r="D479" s="27"/>
      <c r="E479" s="25"/>
      <c r="F479" s="26" t="str">
        <f>IF(E479='Tablas AR'!$B$4,1,IF('Análisis de Riesgos'!E479='Tablas AR'!$B$5,2,IF('Análisis de Riesgos'!E479='Tablas AR'!$B$6,3,"")))</f>
        <v/>
      </c>
      <c r="G479" s="25"/>
      <c r="H479" s="26" t="str">
        <f>IF(G479='Tablas AR'!$B$10,1,IF('Análisis de Riesgos'!G479='Tablas AR'!$B$11,2,IF('Análisis de Riesgos'!G479='Tablas AR'!$B$12,3,"")))</f>
        <v/>
      </c>
      <c r="I479" s="26" t="str">
        <f t="shared" si="7"/>
        <v/>
      </c>
    </row>
    <row r="480" spans="2:9" x14ac:dyDescent="0.3">
      <c r="B480" s="27" t="str">
        <f>IFERROR(INDEX(Activos!$B$3:$C$16, MATCH(C480,Activos!$B$3:$B$16),2),"")</f>
        <v/>
      </c>
      <c r="C480" s="27"/>
      <c r="D480" s="27"/>
      <c r="E480" s="25"/>
      <c r="F480" s="26" t="str">
        <f>IF(E480='Tablas AR'!$B$4,1,IF('Análisis de Riesgos'!E480='Tablas AR'!$B$5,2,IF('Análisis de Riesgos'!E480='Tablas AR'!$B$6,3,"")))</f>
        <v/>
      </c>
      <c r="G480" s="25"/>
      <c r="H480" s="26" t="str">
        <f>IF(G480='Tablas AR'!$B$10,1,IF('Análisis de Riesgos'!G480='Tablas AR'!$B$11,2,IF('Análisis de Riesgos'!G480='Tablas AR'!$B$12,3,"")))</f>
        <v/>
      </c>
      <c r="I480" s="26" t="str">
        <f t="shared" si="7"/>
        <v/>
      </c>
    </row>
    <row r="481" spans="2:9" x14ac:dyDescent="0.3">
      <c r="B481" s="27" t="str">
        <f>IFERROR(INDEX(Activos!$B$3:$C$16, MATCH(C481,Activos!$B$3:$B$16),2),"")</f>
        <v/>
      </c>
      <c r="C481" s="27"/>
      <c r="D481" s="27"/>
      <c r="E481" s="25"/>
      <c r="F481" s="26" t="str">
        <f>IF(E481='Tablas AR'!$B$4,1,IF('Análisis de Riesgos'!E481='Tablas AR'!$B$5,2,IF('Análisis de Riesgos'!E481='Tablas AR'!$B$6,3,"")))</f>
        <v/>
      </c>
      <c r="G481" s="25"/>
      <c r="H481" s="26" t="str">
        <f>IF(G481='Tablas AR'!$B$10,1,IF('Análisis de Riesgos'!G481='Tablas AR'!$B$11,2,IF('Análisis de Riesgos'!G481='Tablas AR'!$B$12,3,"")))</f>
        <v/>
      </c>
      <c r="I481" s="26" t="str">
        <f t="shared" si="7"/>
        <v/>
      </c>
    </row>
    <row r="482" spans="2:9" x14ac:dyDescent="0.3">
      <c r="B482" s="27" t="str">
        <f>IFERROR(INDEX(Activos!$B$3:$C$16, MATCH(C482,Activos!$B$3:$B$16),2),"")</f>
        <v/>
      </c>
      <c r="C482" s="27"/>
      <c r="D482" s="27"/>
      <c r="E482" s="25"/>
      <c r="F482" s="26" t="str">
        <f>IF(E482='Tablas AR'!$B$4,1,IF('Análisis de Riesgos'!E482='Tablas AR'!$B$5,2,IF('Análisis de Riesgos'!E482='Tablas AR'!$B$6,3,"")))</f>
        <v/>
      </c>
      <c r="G482" s="25"/>
      <c r="H482" s="26" t="str">
        <f>IF(G482='Tablas AR'!$B$10,1,IF('Análisis de Riesgos'!G482='Tablas AR'!$B$11,2,IF('Análisis de Riesgos'!G482='Tablas AR'!$B$12,3,"")))</f>
        <v/>
      </c>
      <c r="I482" s="26" t="str">
        <f t="shared" si="7"/>
        <v/>
      </c>
    </row>
    <row r="483" spans="2:9" x14ac:dyDescent="0.3">
      <c r="B483" s="27" t="str">
        <f>IFERROR(INDEX(Activos!$B$3:$C$16, MATCH(C483,Activos!$B$3:$B$16),2),"")</f>
        <v/>
      </c>
      <c r="C483" s="27"/>
      <c r="D483" s="27"/>
      <c r="E483" s="25"/>
      <c r="F483" s="26" t="str">
        <f>IF(E483='Tablas AR'!$B$4,1,IF('Análisis de Riesgos'!E483='Tablas AR'!$B$5,2,IF('Análisis de Riesgos'!E483='Tablas AR'!$B$6,3,"")))</f>
        <v/>
      </c>
      <c r="G483" s="25"/>
      <c r="H483" s="26" t="str">
        <f>IF(G483='Tablas AR'!$B$10,1,IF('Análisis de Riesgos'!G483='Tablas AR'!$B$11,2,IF('Análisis de Riesgos'!G483='Tablas AR'!$B$12,3,"")))</f>
        <v/>
      </c>
      <c r="I483" s="26" t="str">
        <f t="shared" si="7"/>
        <v/>
      </c>
    </row>
    <row r="484" spans="2:9" x14ac:dyDescent="0.3">
      <c r="B484" s="27" t="str">
        <f>IFERROR(INDEX(Activos!$B$3:$C$16, MATCH(C484,Activos!$B$3:$B$16),2),"")</f>
        <v/>
      </c>
      <c r="C484" s="27"/>
      <c r="D484" s="27"/>
      <c r="E484" s="25"/>
      <c r="F484" s="26" t="str">
        <f>IF(E484='Tablas AR'!$B$4,1,IF('Análisis de Riesgos'!E484='Tablas AR'!$B$5,2,IF('Análisis de Riesgos'!E484='Tablas AR'!$B$6,3,"")))</f>
        <v/>
      </c>
      <c r="G484" s="25"/>
      <c r="H484" s="26" t="str">
        <f>IF(G484='Tablas AR'!$B$10,1,IF('Análisis de Riesgos'!G484='Tablas AR'!$B$11,2,IF('Análisis de Riesgos'!G484='Tablas AR'!$B$12,3,"")))</f>
        <v/>
      </c>
      <c r="I484" s="26" t="str">
        <f t="shared" si="7"/>
        <v/>
      </c>
    </row>
    <row r="485" spans="2:9" x14ac:dyDescent="0.3">
      <c r="B485" s="27" t="str">
        <f>IFERROR(INDEX(Activos!$B$3:$C$16, MATCH(C485,Activos!$B$3:$B$16),2),"")</f>
        <v/>
      </c>
      <c r="C485" s="27"/>
      <c r="D485" s="27"/>
      <c r="E485" s="25"/>
      <c r="F485" s="26" t="str">
        <f>IF(E485='Tablas AR'!$B$4,1,IF('Análisis de Riesgos'!E485='Tablas AR'!$B$5,2,IF('Análisis de Riesgos'!E485='Tablas AR'!$B$6,3,"")))</f>
        <v/>
      </c>
      <c r="G485" s="25"/>
      <c r="H485" s="26" t="str">
        <f>IF(G485='Tablas AR'!$B$10,1,IF('Análisis de Riesgos'!G485='Tablas AR'!$B$11,2,IF('Análisis de Riesgos'!G485='Tablas AR'!$B$12,3,"")))</f>
        <v/>
      </c>
      <c r="I485" s="26" t="str">
        <f t="shared" si="7"/>
        <v/>
      </c>
    </row>
    <row r="486" spans="2:9" x14ac:dyDescent="0.3">
      <c r="B486" s="27" t="str">
        <f>IFERROR(INDEX(Activos!$B$3:$C$16, MATCH(C486,Activos!$B$3:$B$16),2),"")</f>
        <v/>
      </c>
      <c r="C486" s="27"/>
      <c r="D486" s="27"/>
      <c r="E486" s="25"/>
      <c r="F486" s="26" t="str">
        <f>IF(E486='Tablas AR'!$B$4,1,IF('Análisis de Riesgos'!E486='Tablas AR'!$B$5,2,IF('Análisis de Riesgos'!E486='Tablas AR'!$B$6,3,"")))</f>
        <v/>
      </c>
      <c r="G486" s="25"/>
      <c r="H486" s="26" t="str">
        <f>IF(G486='Tablas AR'!$B$10,1,IF('Análisis de Riesgos'!G486='Tablas AR'!$B$11,2,IF('Análisis de Riesgos'!G486='Tablas AR'!$B$12,3,"")))</f>
        <v/>
      </c>
      <c r="I486" s="26" t="str">
        <f t="shared" si="7"/>
        <v/>
      </c>
    </row>
    <row r="487" spans="2:9" x14ac:dyDescent="0.3">
      <c r="B487" s="27" t="str">
        <f>IFERROR(INDEX(Activos!$B$3:$C$16, MATCH(C487,Activos!$B$3:$B$16),2),"")</f>
        <v/>
      </c>
      <c r="C487" s="27"/>
      <c r="D487" s="27"/>
      <c r="E487" s="25"/>
      <c r="F487" s="26" t="str">
        <f>IF(E487='Tablas AR'!$B$4,1,IF('Análisis de Riesgos'!E487='Tablas AR'!$B$5,2,IF('Análisis de Riesgos'!E487='Tablas AR'!$B$6,3,"")))</f>
        <v/>
      </c>
      <c r="G487" s="25"/>
      <c r="H487" s="26" t="str">
        <f>IF(G487='Tablas AR'!$B$10,1,IF('Análisis de Riesgos'!G487='Tablas AR'!$B$11,2,IF('Análisis de Riesgos'!G487='Tablas AR'!$B$12,3,"")))</f>
        <v/>
      </c>
      <c r="I487" s="26" t="str">
        <f t="shared" si="7"/>
        <v/>
      </c>
    </row>
    <row r="488" spans="2:9" x14ac:dyDescent="0.3">
      <c r="B488" s="27" t="str">
        <f>IFERROR(INDEX(Activos!$B$3:$C$16, MATCH(C488,Activos!$B$3:$B$16),2),"")</f>
        <v/>
      </c>
      <c r="C488" s="27"/>
      <c r="D488" s="27"/>
      <c r="E488" s="25"/>
      <c r="F488" s="26" t="str">
        <f>IF(E488='Tablas AR'!$B$4,1,IF('Análisis de Riesgos'!E488='Tablas AR'!$B$5,2,IF('Análisis de Riesgos'!E488='Tablas AR'!$B$6,3,"")))</f>
        <v/>
      </c>
      <c r="G488" s="25"/>
      <c r="H488" s="26" t="str">
        <f>IF(G488='Tablas AR'!$B$10,1,IF('Análisis de Riesgos'!G488='Tablas AR'!$B$11,2,IF('Análisis de Riesgos'!G488='Tablas AR'!$B$12,3,"")))</f>
        <v/>
      </c>
      <c r="I488" s="26" t="str">
        <f t="shared" si="7"/>
        <v/>
      </c>
    </row>
    <row r="489" spans="2:9" x14ac:dyDescent="0.3">
      <c r="B489" s="27" t="str">
        <f>IFERROR(INDEX(Activos!$B$3:$C$16, MATCH(C489,Activos!$B$3:$B$16),2),"")</f>
        <v/>
      </c>
      <c r="C489" s="27"/>
      <c r="D489" s="27"/>
      <c r="E489" s="25"/>
      <c r="F489" s="26" t="str">
        <f>IF(E489='Tablas AR'!$B$4,1,IF('Análisis de Riesgos'!E489='Tablas AR'!$B$5,2,IF('Análisis de Riesgos'!E489='Tablas AR'!$B$6,3,"")))</f>
        <v/>
      </c>
      <c r="G489" s="25"/>
      <c r="H489" s="26" t="str">
        <f>IF(G489='Tablas AR'!$B$10,1,IF('Análisis de Riesgos'!G489='Tablas AR'!$B$11,2,IF('Análisis de Riesgos'!G489='Tablas AR'!$B$12,3,"")))</f>
        <v/>
      </c>
      <c r="I489" s="26" t="str">
        <f t="shared" si="7"/>
        <v/>
      </c>
    </row>
    <row r="490" spans="2:9" x14ac:dyDescent="0.3">
      <c r="B490" s="27" t="str">
        <f>IFERROR(INDEX(Activos!$B$3:$C$16, MATCH(C490,Activos!$B$3:$B$16),2),"")</f>
        <v/>
      </c>
      <c r="C490" s="27"/>
      <c r="D490" s="27"/>
      <c r="E490" s="25"/>
      <c r="F490" s="26" t="str">
        <f>IF(E490='Tablas AR'!$B$4,1,IF('Análisis de Riesgos'!E490='Tablas AR'!$B$5,2,IF('Análisis de Riesgos'!E490='Tablas AR'!$B$6,3,"")))</f>
        <v/>
      </c>
      <c r="G490" s="25"/>
      <c r="H490" s="26" t="str">
        <f>IF(G490='Tablas AR'!$B$10,1,IF('Análisis de Riesgos'!G490='Tablas AR'!$B$11,2,IF('Análisis de Riesgos'!G490='Tablas AR'!$B$12,3,"")))</f>
        <v/>
      </c>
      <c r="I490" s="26" t="str">
        <f t="shared" si="7"/>
        <v/>
      </c>
    </row>
    <row r="491" spans="2:9" x14ac:dyDescent="0.3">
      <c r="B491" s="27" t="str">
        <f>IFERROR(INDEX(Activos!$B$3:$C$16, MATCH(C491,Activos!$B$3:$B$16),2),"")</f>
        <v/>
      </c>
      <c r="C491" s="27"/>
      <c r="D491" s="27"/>
      <c r="E491" s="25"/>
      <c r="F491" s="26" t="str">
        <f>IF(E491='Tablas AR'!$B$4,1,IF('Análisis de Riesgos'!E491='Tablas AR'!$B$5,2,IF('Análisis de Riesgos'!E491='Tablas AR'!$B$6,3,"")))</f>
        <v/>
      </c>
      <c r="G491" s="25"/>
      <c r="H491" s="26" t="str">
        <f>IF(G491='Tablas AR'!$B$10,1,IF('Análisis de Riesgos'!G491='Tablas AR'!$B$11,2,IF('Análisis de Riesgos'!G491='Tablas AR'!$B$12,3,"")))</f>
        <v/>
      </c>
      <c r="I491" s="26" t="str">
        <f t="shared" si="7"/>
        <v/>
      </c>
    </row>
    <row r="492" spans="2:9" x14ac:dyDescent="0.3">
      <c r="B492" s="27" t="str">
        <f>IFERROR(INDEX(Activos!$B$3:$C$16, MATCH(C492,Activos!$B$3:$B$16),2),"")</f>
        <v/>
      </c>
      <c r="C492" s="27"/>
      <c r="D492" s="27"/>
      <c r="E492" s="25"/>
      <c r="F492" s="26" t="str">
        <f>IF(E492='Tablas AR'!$B$4,1,IF('Análisis de Riesgos'!E492='Tablas AR'!$B$5,2,IF('Análisis de Riesgos'!E492='Tablas AR'!$B$6,3,"")))</f>
        <v/>
      </c>
      <c r="G492" s="25"/>
      <c r="H492" s="26" t="str">
        <f>IF(G492='Tablas AR'!$B$10,1,IF('Análisis de Riesgos'!G492='Tablas AR'!$B$11,2,IF('Análisis de Riesgos'!G492='Tablas AR'!$B$12,3,"")))</f>
        <v/>
      </c>
      <c r="I492" s="26" t="str">
        <f t="shared" si="7"/>
        <v/>
      </c>
    </row>
    <row r="493" spans="2:9" x14ac:dyDescent="0.3">
      <c r="B493" s="27" t="str">
        <f>IFERROR(INDEX(Activos!$B$3:$C$16, MATCH(C493,Activos!$B$3:$B$16),2),"")</f>
        <v/>
      </c>
      <c r="C493" s="27"/>
      <c r="D493" s="27"/>
      <c r="E493" s="25"/>
      <c r="F493" s="26" t="str">
        <f>IF(E493='Tablas AR'!$B$4,1,IF('Análisis de Riesgos'!E493='Tablas AR'!$B$5,2,IF('Análisis de Riesgos'!E493='Tablas AR'!$B$6,3,"")))</f>
        <v/>
      </c>
      <c r="G493" s="25"/>
      <c r="H493" s="26" t="str">
        <f>IF(G493='Tablas AR'!$B$10,1,IF('Análisis de Riesgos'!G493='Tablas AR'!$B$11,2,IF('Análisis de Riesgos'!G493='Tablas AR'!$B$12,3,"")))</f>
        <v/>
      </c>
      <c r="I493" s="26" t="str">
        <f t="shared" si="7"/>
        <v/>
      </c>
    </row>
    <row r="494" spans="2:9" x14ac:dyDescent="0.3">
      <c r="B494" s="27" t="str">
        <f>IFERROR(INDEX(Activos!$B$3:$C$16, MATCH(C494,Activos!$B$3:$B$16),2),"")</f>
        <v/>
      </c>
      <c r="C494" s="27"/>
      <c r="D494" s="27"/>
      <c r="E494" s="25"/>
      <c r="F494" s="26" t="str">
        <f>IF(E494='Tablas AR'!$B$4,1,IF('Análisis de Riesgos'!E494='Tablas AR'!$B$5,2,IF('Análisis de Riesgos'!E494='Tablas AR'!$B$6,3,"")))</f>
        <v/>
      </c>
      <c r="G494" s="25"/>
      <c r="H494" s="26" t="str">
        <f>IF(G494='Tablas AR'!$B$10,1,IF('Análisis de Riesgos'!G494='Tablas AR'!$B$11,2,IF('Análisis de Riesgos'!G494='Tablas AR'!$B$12,3,"")))</f>
        <v/>
      </c>
      <c r="I494" s="26" t="str">
        <f t="shared" si="7"/>
        <v/>
      </c>
    </row>
    <row r="495" spans="2:9" x14ac:dyDescent="0.3">
      <c r="B495" s="27" t="str">
        <f>IFERROR(INDEX(Activos!$B$3:$C$16, MATCH(C495,Activos!$B$3:$B$16),2),"")</f>
        <v/>
      </c>
      <c r="C495" s="27"/>
      <c r="D495" s="27"/>
      <c r="E495" s="25"/>
      <c r="F495" s="26" t="str">
        <f>IF(E495='Tablas AR'!$B$4,1,IF('Análisis de Riesgos'!E495='Tablas AR'!$B$5,2,IF('Análisis de Riesgos'!E495='Tablas AR'!$B$6,3,"")))</f>
        <v/>
      </c>
      <c r="G495" s="25"/>
      <c r="H495" s="26" t="str">
        <f>IF(G495='Tablas AR'!$B$10,1,IF('Análisis de Riesgos'!G495='Tablas AR'!$B$11,2,IF('Análisis de Riesgos'!G495='Tablas AR'!$B$12,3,"")))</f>
        <v/>
      </c>
      <c r="I495" s="26" t="str">
        <f t="shared" si="7"/>
        <v/>
      </c>
    </row>
    <row r="496" spans="2:9" x14ac:dyDescent="0.3">
      <c r="B496" s="27" t="str">
        <f>IFERROR(INDEX(Activos!$B$3:$C$16, MATCH(C496,Activos!$B$3:$B$16),2),"")</f>
        <v/>
      </c>
      <c r="C496" s="27"/>
      <c r="D496" s="27"/>
      <c r="E496" s="25"/>
      <c r="F496" s="26" t="str">
        <f>IF(E496='Tablas AR'!$B$4,1,IF('Análisis de Riesgos'!E496='Tablas AR'!$B$5,2,IF('Análisis de Riesgos'!E496='Tablas AR'!$B$6,3,"")))</f>
        <v/>
      </c>
      <c r="G496" s="25"/>
      <c r="H496" s="26" t="str">
        <f>IF(G496='Tablas AR'!$B$10,1,IF('Análisis de Riesgos'!G496='Tablas AR'!$B$11,2,IF('Análisis de Riesgos'!G496='Tablas AR'!$B$12,3,"")))</f>
        <v/>
      </c>
      <c r="I496" s="26" t="str">
        <f t="shared" si="7"/>
        <v/>
      </c>
    </row>
    <row r="497" spans="2:9" x14ac:dyDescent="0.3">
      <c r="B497" s="27" t="str">
        <f>IFERROR(INDEX(Activos!$B$3:$C$16, MATCH(C497,Activos!$B$3:$B$16),2),"")</f>
        <v/>
      </c>
      <c r="C497" s="27"/>
      <c r="D497" s="27"/>
      <c r="E497" s="25"/>
      <c r="F497" s="26" t="str">
        <f>IF(E497='Tablas AR'!$B$4,1,IF('Análisis de Riesgos'!E497='Tablas AR'!$B$5,2,IF('Análisis de Riesgos'!E497='Tablas AR'!$B$6,3,"")))</f>
        <v/>
      </c>
      <c r="G497" s="25"/>
      <c r="H497" s="26" t="str">
        <f>IF(G497='Tablas AR'!$B$10,1,IF('Análisis de Riesgos'!G497='Tablas AR'!$B$11,2,IF('Análisis de Riesgos'!G497='Tablas AR'!$B$12,3,"")))</f>
        <v/>
      </c>
      <c r="I497" s="26" t="str">
        <f t="shared" si="7"/>
        <v/>
      </c>
    </row>
    <row r="498" spans="2:9" x14ac:dyDescent="0.3">
      <c r="B498" s="27" t="str">
        <f>IFERROR(INDEX(Activos!$B$3:$C$16, MATCH(C498,Activos!$B$3:$B$16),2),"")</f>
        <v/>
      </c>
      <c r="C498" s="27"/>
      <c r="D498" s="27"/>
      <c r="E498" s="25"/>
      <c r="F498" s="26" t="str">
        <f>IF(E498='Tablas AR'!$B$4,1,IF('Análisis de Riesgos'!E498='Tablas AR'!$B$5,2,IF('Análisis de Riesgos'!E498='Tablas AR'!$B$6,3,"")))</f>
        <v/>
      </c>
      <c r="G498" s="25"/>
      <c r="H498" s="26" t="str">
        <f>IF(G498='Tablas AR'!$B$10,1,IF('Análisis de Riesgos'!G498='Tablas AR'!$B$11,2,IF('Análisis de Riesgos'!G498='Tablas AR'!$B$12,3,"")))</f>
        <v/>
      </c>
      <c r="I498" s="26" t="str">
        <f t="shared" si="7"/>
        <v/>
      </c>
    </row>
    <row r="499" spans="2:9" x14ac:dyDescent="0.3">
      <c r="B499" s="27" t="str">
        <f>IFERROR(INDEX(Activos!$B$3:$C$16, MATCH(C499,Activos!$B$3:$B$16),2),"")</f>
        <v/>
      </c>
      <c r="C499" s="27"/>
      <c r="D499" s="27"/>
      <c r="E499" s="25"/>
      <c r="F499" s="26" t="str">
        <f>IF(E499='Tablas AR'!$B$4,1,IF('Análisis de Riesgos'!E499='Tablas AR'!$B$5,2,IF('Análisis de Riesgos'!E499='Tablas AR'!$B$6,3,"")))</f>
        <v/>
      </c>
      <c r="G499" s="25"/>
      <c r="H499" s="26" t="str">
        <f>IF(G499='Tablas AR'!$B$10,1,IF('Análisis de Riesgos'!G499='Tablas AR'!$B$11,2,IF('Análisis de Riesgos'!G499='Tablas AR'!$B$12,3,"")))</f>
        <v/>
      </c>
      <c r="I499" s="26" t="str">
        <f t="shared" si="7"/>
        <v/>
      </c>
    </row>
    <row r="500" spans="2:9" x14ac:dyDescent="0.3">
      <c r="B500" s="27" t="str">
        <f>IFERROR(INDEX(Activos!$B$3:$C$16, MATCH(C500,Activos!$B$3:$B$16),2),"")</f>
        <v/>
      </c>
      <c r="C500" s="27"/>
      <c r="D500" s="27"/>
      <c r="E500" s="25"/>
      <c r="F500" s="26" t="str">
        <f>IF(E500='Tablas AR'!$B$4,1,IF('Análisis de Riesgos'!E500='Tablas AR'!$B$5,2,IF('Análisis de Riesgos'!E500='Tablas AR'!$B$6,3,"")))</f>
        <v/>
      </c>
      <c r="G500" s="25"/>
      <c r="H500" s="26" t="str">
        <f>IF(G500='Tablas AR'!$B$10,1,IF('Análisis de Riesgos'!G500='Tablas AR'!$B$11,2,IF('Análisis de Riesgos'!G500='Tablas AR'!$B$12,3,"")))</f>
        <v/>
      </c>
      <c r="I500" s="26" t="str">
        <f t="shared" si="7"/>
        <v/>
      </c>
    </row>
    <row r="501" spans="2:9" x14ac:dyDescent="0.3">
      <c r="B501" s="27" t="str">
        <f>IFERROR(INDEX(Activos!$B$3:$C$16, MATCH(C501,Activos!$B$3:$B$16),2),"")</f>
        <v/>
      </c>
      <c r="C501" s="27"/>
      <c r="D501" s="27"/>
      <c r="E501" s="25"/>
      <c r="F501" s="26" t="str">
        <f>IF(E501='Tablas AR'!$B$4,1,IF('Análisis de Riesgos'!E501='Tablas AR'!$B$5,2,IF('Análisis de Riesgos'!E501='Tablas AR'!$B$6,3,"")))</f>
        <v/>
      </c>
      <c r="G501" s="25"/>
      <c r="H501" s="26" t="str">
        <f>IF(G501='Tablas AR'!$B$10,1,IF('Análisis de Riesgos'!G501='Tablas AR'!$B$11,2,IF('Análisis de Riesgos'!G501='Tablas AR'!$B$12,3,"")))</f>
        <v/>
      </c>
      <c r="I501" s="26" t="str">
        <f t="shared" si="7"/>
        <v/>
      </c>
    </row>
    <row r="502" spans="2:9" x14ac:dyDescent="0.3">
      <c r="B502" s="27" t="str">
        <f>IFERROR(INDEX(Activos!$B$3:$C$16, MATCH(C502,Activos!$B$3:$B$16),2),"")</f>
        <v/>
      </c>
      <c r="C502" s="27"/>
      <c r="D502" s="27"/>
      <c r="E502" s="25"/>
      <c r="F502" s="26" t="str">
        <f>IF(E502='Tablas AR'!$B$4,1,IF('Análisis de Riesgos'!E502='Tablas AR'!$B$5,2,IF('Análisis de Riesgos'!E502='Tablas AR'!$B$6,3,"")))</f>
        <v/>
      </c>
      <c r="G502" s="25"/>
      <c r="H502" s="26" t="str">
        <f>IF(G502='Tablas AR'!$B$10,1,IF('Análisis de Riesgos'!G502='Tablas AR'!$B$11,2,IF('Análisis de Riesgos'!G502='Tablas AR'!$B$12,3,"")))</f>
        <v/>
      </c>
      <c r="I502" s="26" t="str">
        <f t="shared" si="7"/>
        <v/>
      </c>
    </row>
    <row r="503" spans="2:9" x14ac:dyDescent="0.3">
      <c r="B503" s="27" t="str">
        <f>IFERROR(INDEX(Activos!$B$3:$C$16, MATCH(C503,Activos!$B$3:$B$16),2),"")</f>
        <v/>
      </c>
      <c r="C503" s="27"/>
      <c r="D503" s="27"/>
      <c r="E503" s="25"/>
      <c r="F503" s="26" t="str">
        <f>IF(E503='Tablas AR'!$B$4,1,IF('Análisis de Riesgos'!E503='Tablas AR'!$B$5,2,IF('Análisis de Riesgos'!E503='Tablas AR'!$B$6,3,"")))</f>
        <v/>
      </c>
      <c r="G503" s="25"/>
      <c r="H503" s="26" t="str">
        <f>IF(G503='Tablas AR'!$B$10,1,IF('Análisis de Riesgos'!G503='Tablas AR'!$B$11,2,IF('Análisis de Riesgos'!G503='Tablas AR'!$B$12,3,"")))</f>
        <v/>
      </c>
      <c r="I503" s="26" t="str">
        <f t="shared" si="7"/>
        <v/>
      </c>
    </row>
    <row r="504" spans="2:9" x14ac:dyDescent="0.3">
      <c r="B504" s="27" t="str">
        <f>IFERROR(INDEX(Activos!$B$3:$C$16, MATCH(C504,Activos!$B$3:$B$16),2),"")</f>
        <v/>
      </c>
      <c r="C504" s="27"/>
      <c r="D504" s="27"/>
      <c r="E504" s="25"/>
      <c r="F504" s="26" t="str">
        <f>IF(E504='Tablas AR'!$B$4,1,IF('Análisis de Riesgos'!E504='Tablas AR'!$B$5,2,IF('Análisis de Riesgos'!E504='Tablas AR'!$B$6,3,"")))</f>
        <v/>
      </c>
      <c r="G504" s="25"/>
      <c r="H504" s="26" t="str">
        <f>IF(G504='Tablas AR'!$B$10,1,IF('Análisis de Riesgos'!G504='Tablas AR'!$B$11,2,IF('Análisis de Riesgos'!G504='Tablas AR'!$B$12,3,"")))</f>
        <v/>
      </c>
      <c r="I504" s="26" t="str">
        <f t="shared" si="7"/>
        <v/>
      </c>
    </row>
    <row r="505" spans="2:9" x14ac:dyDescent="0.3">
      <c r="B505" s="27" t="str">
        <f>IFERROR(INDEX(Activos!$B$3:$C$16, MATCH(C505,Activos!$B$3:$B$16),2),"")</f>
        <v/>
      </c>
      <c r="C505" s="27"/>
      <c r="D505" s="27"/>
      <c r="E505" s="25"/>
      <c r="F505" s="26" t="str">
        <f>IF(E505='Tablas AR'!$B$4,1,IF('Análisis de Riesgos'!E505='Tablas AR'!$B$5,2,IF('Análisis de Riesgos'!E505='Tablas AR'!$B$6,3,"")))</f>
        <v/>
      </c>
      <c r="G505" s="25"/>
      <c r="H505" s="26" t="str">
        <f>IF(G505='Tablas AR'!$B$10,1,IF('Análisis de Riesgos'!G505='Tablas AR'!$B$11,2,IF('Análisis de Riesgos'!G505='Tablas AR'!$B$12,3,"")))</f>
        <v/>
      </c>
      <c r="I505" s="26" t="str">
        <f t="shared" si="7"/>
        <v/>
      </c>
    </row>
    <row r="506" spans="2:9" x14ac:dyDescent="0.3">
      <c r="B506" s="27" t="str">
        <f>IFERROR(INDEX(Activos!$B$3:$C$16, MATCH(C506,Activos!$B$3:$B$16),2),"")</f>
        <v/>
      </c>
      <c r="C506" s="27"/>
      <c r="D506" s="27"/>
      <c r="E506" s="25"/>
      <c r="F506" s="26" t="str">
        <f>IF(E506='Tablas AR'!$B$4,1,IF('Análisis de Riesgos'!E506='Tablas AR'!$B$5,2,IF('Análisis de Riesgos'!E506='Tablas AR'!$B$6,3,"")))</f>
        <v/>
      </c>
      <c r="G506" s="25"/>
      <c r="H506" s="26" t="str">
        <f>IF(G506='Tablas AR'!$B$10,1,IF('Análisis de Riesgos'!G506='Tablas AR'!$B$11,2,IF('Análisis de Riesgos'!G506='Tablas AR'!$B$12,3,"")))</f>
        <v/>
      </c>
      <c r="I506" s="26" t="str">
        <f t="shared" si="7"/>
        <v/>
      </c>
    </row>
    <row r="507" spans="2:9" x14ac:dyDescent="0.3">
      <c r="B507" s="27" t="str">
        <f>IFERROR(INDEX(Activos!$B$3:$C$16, MATCH(C507,Activos!$B$3:$B$16),2),"")</f>
        <v/>
      </c>
      <c r="C507" s="27"/>
      <c r="D507" s="27"/>
      <c r="E507" s="25"/>
      <c r="F507" s="26" t="str">
        <f>IF(E507='Tablas AR'!$B$4,1,IF('Análisis de Riesgos'!E507='Tablas AR'!$B$5,2,IF('Análisis de Riesgos'!E507='Tablas AR'!$B$6,3,"")))</f>
        <v/>
      </c>
      <c r="G507" s="25"/>
      <c r="H507" s="26" t="str">
        <f>IF(G507='Tablas AR'!$B$10,1,IF('Análisis de Riesgos'!G507='Tablas AR'!$B$11,2,IF('Análisis de Riesgos'!G507='Tablas AR'!$B$12,3,"")))</f>
        <v/>
      </c>
      <c r="I507" s="26" t="str">
        <f t="shared" si="7"/>
        <v/>
      </c>
    </row>
    <row r="508" spans="2:9" x14ac:dyDescent="0.3">
      <c r="B508" s="27" t="str">
        <f>IFERROR(INDEX(Activos!$B$3:$C$16, MATCH(C508,Activos!$B$3:$B$16),2),"")</f>
        <v/>
      </c>
      <c r="C508" s="27"/>
      <c r="D508" s="27"/>
      <c r="E508" s="25"/>
      <c r="F508" s="26" t="str">
        <f>IF(E508='Tablas AR'!$B$4,1,IF('Análisis de Riesgos'!E508='Tablas AR'!$B$5,2,IF('Análisis de Riesgos'!E508='Tablas AR'!$B$6,3,"")))</f>
        <v/>
      </c>
      <c r="G508" s="25"/>
      <c r="H508" s="26" t="str">
        <f>IF(G508='Tablas AR'!$B$10,1,IF('Análisis de Riesgos'!G508='Tablas AR'!$B$11,2,IF('Análisis de Riesgos'!G508='Tablas AR'!$B$12,3,"")))</f>
        <v/>
      </c>
      <c r="I508" s="26" t="str">
        <f t="shared" si="7"/>
        <v/>
      </c>
    </row>
    <row r="509" spans="2:9" x14ac:dyDescent="0.3">
      <c r="B509" s="27" t="str">
        <f>IFERROR(INDEX(Activos!$B$3:$C$16, MATCH(C509,Activos!$B$3:$B$16),2),"")</f>
        <v/>
      </c>
      <c r="C509" s="27"/>
      <c r="D509" s="27"/>
      <c r="E509" s="25"/>
      <c r="F509" s="26" t="str">
        <f>IF(E509='Tablas AR'!$B$4,1,IF('Análisis de Riesgos'!E509='Tablas AR'!$B$5,2,IF('Análisis de Riesgos'!E509='Tablas AR'!$B$6,3,"")))</f>
        <v/>
      </c>
      <c r="G509" s="25"/>
      <c r="H509" s="26" t="str">
        <f>IF(G509='Tablas AR'!$B$10,1,IF('Análisis de Riesgos'!G509='Tablas AR'!$B$11,2,IF('Análisis de Riesgos'!G509='Tablas AR'!$B$12,3,"")))</f>
        <v/>
      </c>
      <c r="I509" s="26" t="str">
        <f t="shared" si="7"/>
        <v/>
      </c>
    </row>
    <row r="510" spans="2:9" x14ac:dyDescent="0.3">
      <c r="B510" s="27" t="str">
        <f>IFERROR(INDEX(Activos!$B$3:$C$16, MATCH(C510,Activos!$B$3:$B$16),2),"")</f>
        <v/>
      </c>
      <c r="C510" s="27"/>
      <c r="D510" s="27"/>
      <c r="E510" s="25"/>
      <c r="F510" s="26" t="str">
        <f>IF(E510='Tablas AR'!$B$4,1,IF('Análisis de Riesgos'!E510='Tablas AR'!$B$5,2,IF('Análisis de Riesgos'!E510='Tablas AR'!$B$6,3,"")))</f>
        <v/>
      </c>
      <c r="G510" s="25"/>
      <c r="H510" s="26" t="str">
        <f>IF(G510='Tablas AR'!$B$10,1,IF('Análisis de Riesgos'!G510='Tablas AR'!$B$11,2,IF('Análisis de Riesgos'!G510='Tablas AR'!$B$12,3,"")))</f>
        <v/>
      </c>
      <c r="I510" s="26" t="str">
        <f t="shared" si="7"/>
        <v/>
      </c>
    </row>
    <row r="511" spans="2:9" x14ac:dyDescent="0.3">
      <c r="B511" s="27" t="str">
        <f>IFERROR(INDEX(Activos!$B$3:$C$16, MATCH(C511,Activos!$B$3:$B$16),2),"")</f>
        <v/>
      </c>
      <c r="C511" s="27"/>
      <c r="D511" s="27"/>
      <c r="E511" s="25"/>
      <c r="F511" s="26" t="str">
        <f>IF(E511='Tablas AR'!$B$4,1,IF('Análisis de Riesgos'!E511='Tablas AR'!$B$5,2,IF('Análisis de Riesgos'!E511='Tablas AR'!$B$6,3,"")))</f>
        <v/>
      </c>
      <c r="G511" s="25"/>
      <c r="H511" s="26" t="str">
        <f>IF(G511='Tablas AR'!$B$10,1,IF('Análisis de Riesgos'!G511='Tablas AR'!$B$11,2,IF('Análisis de Riesgos'!G511='Tablas AR'!$B$12,3,"")))</f>
        <v/>
      </c>
      <c r="I511" s="26" t="str">
        <f t="shared" si="7"/>
        <v/>
      </c>
    </row>
    <row r="512" spans="2:9" x14ac:dyDescent="0.3">
      <c r="B512" s="27" t="str">
        <f>IFERROR(INDEX(Activos!$B$3:$C$16, MATCH(C512,Activos!$B$3:$B$16),2),"")</f>
        <v/>
      </c>
      <c r="C512" s="27"/>
      <c r="D512" s="27"/>
      <c r="E512" s="25"/>
      <c r="F512" s="26" t="str">
        <f>IF(E512='Tablas AR'!$B$4,1,IF('Análisis de Riesgos'!E512='Tablas AR'!$B$5,2,IF('Análisis de Riesgos'!E512='Tablas AR'!$B$6,3,"")))</f>
        <v/>
      </c>
      <c r="G512" s="25"/>
      <c r="H512" s="26" t="str">
        <f>IF(G512='Tablas AR'!$B$10,1,IF('Análisis de Riesgos'!G512='Tablas AR'!$B$11,2,IF('Análisis de Riesgos'!G512='Tablas AR'!$B$12,3,"")))</f>
        <v/>
      </c>
      <c r="I512" s="26" t="str">
        <f t="shared" si="7"/>
        <v/>
      </c>
    </row>
    <row r="513" spans="2:9" x14ac:dyDescent="0.3">
      <c r="B513" s="27" t="str">
        <f>IFERROR(INDEX(Activos!$B$3:$C$16, MATCH(C513,Activos!$B$3:$B$16),2),"")</f>
        <v/>
      </c>
      <c r="C513" s="27"/>
      <c r="D513" s="27"/>
      <c r="E513" s="25"/>
      <c r="F513" s="26" t="str">
        <f>IF(E513='Tablas AR'!$B$4,1,IF('Análisis de Riesgos'!E513='Tablas AR'!$B$5,2,IF('Análisis de Riesgos'!E513='Tablas AR'!$B$6,3,"")))</f>
        <v/>
      </c>
      <c r="G513" s="25"/>
      <c r="H513" s="26" t="str">
        <f>IF(G513='Tablas AR'!$B$10,1,IF('Análisis de Riesgos'!G513='Tablas AR'!$B$11,2,IF('Análisis de Riesgos'!G513='Tablas AR'!$B$12,3,"")))</f>
        <v/>
      </c>
      <c r="I513" s="26" t="str">
        <f t="shared" si="7"/>
        <v/>
      </c>
    </row>
    <row r="514" spans="2:9" x14ac:dyDescent="0.3">
      <c r="B514" s="27" t="str">
        <f>IFERROR(INDEX(Activos!$B$3:$C$16, MATCH(C514,Activos!$B$3:$B$16),2),"")</f>
        <v/>
      </c>
      <c r="C514" s="27"/>
      <c r="D514" s="27"/>
      <c r="E514" s="25"/>
      <c r="F514" s="26" t="str">
        <f>IF(E514='Tablas AR'!$B$4,1,IF('Análisis de Riesgos'!E514='Tablas AR'!$B$5,2,IF('Análisis de Riesgos'!E514='Tablas AR'!$B$6,3,"")))</f>
        <v/>
      </c>
      <c r="G514" s="25"/>
      <c r="H514" s="26" t="str">
        <f>IF(G514='Tablas AR'!$B$10,1,IF('Análisis de Riesgos'!G514='Tablas AR'!$B$11,2,IF('Análisis de Riesgos'!G514='Tablas AR'!$B$12,3,"")))</f>
        <v/>
      </c>
      <c r="I514" s="26" t="str">
        <f t="shared" si="7"/>
        <v/>
      </c>
    </row>
    <row r="515" spans="2:9" x14ac:dyDescent="0.3">
      <c r="B515" s="27" t="str">
        <f>IFERROR(INDEX(Activos!$B$3:$C$16, MATCH(C515,Activos!$B$3:$B$16),2),"")</f>
        <v/>
      </c>
      <c r="C515" s="27"/>
      <c r="D515" s="27"/>
      <c r="E515" s="25"/>
      <c r="F515" s="26" t="str">
        <f>IF(E515='Tablas AR'!$B$4,1,IF('Análisis de Riesgos'!E515='Tablas AR'!$B$5,2,IF('Análisis de Riesgos'!E515='Tablas AR'!$B$6,3,"")))</f>
        <v/>
      </c>
      <c r="G515" s="25"/>
      <c r="H515" s="26" t="str">
        <f>IF(G515='Tablas AR'!$B$10,1,IF('Análisis de Riesgos'!G515='Tablas AR'!$B$11,2,IF('Análisis de Riesgos'!G515='Tablas AR'!$B$12,3,"")))</f>
        <v/>
      </c>
      <c r="I515" s="26" t="str">
        <f t="shared" si="7"/>
        <v/>
      </c>
    </row>
    <row r="516" spans="2:9" x14ac:dyDescent="0.3">
      <c r="B516" s="27" t="str">
        <f>IFERROR(INDEX(Activos!$B$3:$C$16, MATCH(C516,Activos!$B$3:$B$16),2),"")</f>
        <v/>
      </c>
      <c r="C516" s="27"/>
      <c r="D516" s="27"/>
      <c r="E516" s="25"/>
      <c r="F516" s="26" t="str">
        <f>IF(E516='Tablas AR'!$B$4,1,IF('Análisis de Riesgos'!E516='Tablas AR'!$B$5,2,IF('Análisis de Riesgos'!E516='Tablas AR'!$B$6,3,"")))</f>
        <v/>
      </c>
      <c r="G516" s="25"/>
      <c r="H516" s="26" t="str">
        <f>IF(G516='Tablas AR'!$B$10,1,IF('Análisis de Riesgos'!G516='Tablas AR'!$B$11,2,IF('Análisis de Riesgos'!G516='Tablas AR'!$B$12,3,"")))</f>
        <v/>
      </c>
      <c r="I516" s="26" t="str">
        <f t="shared" ref="I516:I579" si="8" xml:space="preserve"> IFERROR(F516*H516,"")</f>
        <v/>
      </c>
    </row>
    <row r="517" spans="2:9" x14ac:dyDescent="0.3">
      <c r="B517" s="27" t="str">
        <f>IFERROR(INDEX(Activos!$B$3:$C$16, MATCH(C517,Activos!$B$3:$B$16),2),"")</f>
        <v/>
      </c>
      <c r="C517" s="27"/>
      <c r="D517" s="27"/>
      <c r="E517" s="25"/>
      <c r="F517" s="26" t="str">
        <f>IF(E517='Tablas AR'!$B$4,1,IF('Análisis de Riesgos'!E517='Tablas AR'!$B$5,2,IF('Análisis de Riesgos'!E517='Tablas AR'!$B$6,3,"")))</f>
        <v/>
      </c>
      <c r="G517" s="25"/>
      <c r="H517" s="26" t="str">
        <f>IF(G517='Tablas AR'!$B$10,1,IF('Análisis de Riesgos'!G517='Tablas AR'!$B$11,2,IF('Análisis de Riesgos'!G517='Tablas AR'!$B$12,3,"")))</f>
        <v/>
      </c>
      <c r="I517" s="26" t="str">
        <f t="shared" si="8"/>
        <v/>
      </c>
    </row>
    <row r="518" spans="2:9" x14ac:dyDescent="0.3">
      <c r="B518" s="27" t="str">
        <f>IFERROR(INDEX(Activos!$B$3:$C$16, MATCH(C518,Activos!$B$3:$B$16),2),"")</f>
        <v/>
      </c>
      <c r="C518" s="27"/>
      <c r="D518" s="27"/>
      <c r="E518" s="25"/>
      <c r="F518" s="26" t="str">
        <f>IF(E518='Tablas AR'!$B$4,1,IF('Análisis de Riesgos'!E518='Tablas AR'!$B$5,2,IF('Análisis de Riesgos'!E518='Tablas AR'!$B$6,3,"")))</f>
        <v/>
      </c>
      <c r="G518" s="25"/>
      <c r="H518" s="26" t="str">
        <f>IF(G518='Tablas AR'!$B$10,1,IF('Análisis de Riesgos'!G518='Tablas AR'!$B$11,2,IF('Análisis de Riesgos'!G518='Tablas AR'!$B$12,3,"")))</f>
        <v/>
      </c>
      <c r="I518" s="26" t="str">
        <f t="shared" si="8"/>
        <v/>
      </c>
    </row>
    <row r="519" spans="2:9" x14ac:dyDescent="0.3">
      <c r="B519" s="27" t="str">
        <f>IFERROR(INDEX(Activos!$B$3:$C$16, MATCH(C519,Activos!$B$3:$B$16),2),"")</f>
        <v/>
      </c>
      <c r="C519" s="27"/>
      <c r="D519" s="27"/>
      <c r="E519" s="25"/>
      <c r="F519" s="26" t="str">
        <f>IF(E519='Tablas AR'!$B$4,1,IF('Análisis de Riesgos'!E519='Tablas AR'!$B$5,2,IF('Análisis de Riesgos'!E519='Tablas AR'!$B$6,3,"")))</f>
        <v/>
      </c>
      <c r="G519" s="25"/>
      <c r="H519" s="26" t="str">
        <f>IF(G519='Tablas AR'!$B$10,1,IF('Análisis de Riesgos'!G519='Tablas AR'!$B$11,2,IF('Análisis de Riesgos'!G519='Tablas AR'!$B$12,3,"")))</f>
        <v/>
      </c>
      <c r="I519" s="26" t="str">
        <f t="shared" si="8"/>
        <v/>
      </c>
    </row>
    <row r="520" spans="2:9" x14ac:dyDescent="0.3">
      <c r="B520" s="27" t="str">
        <f>IFERROR(INDEX(Activos!$B$3:$C$16, MATCH(C520,Activos!$B$3:$B$16),2),"")</f>
        <v/>
      </c>
      <c r="C520" s="27"/>
      <c r="D520" s="27"/>
      <c r="E520" s="25"/>
      <c r="F520" s="26" t="str">
        <f>IF(E520='Tablas AR'!$B$4,1,IF('Análisis de Riesgos'!E520='Tablas AR'!$B$5,2,IF('Análisis de Riesgos'!E520='Tablas AR'!$B$6,3,"")))</f>
        <v/>
      </c>
      <c r="G520" s="25"/>
      <c r="H520" s="26" t="str">
        <f>IF(G520='Tablas AR'!$B$10,1,IF('Análisis de Riesgos'!G520='Tablas AR'!$B$11,2,IF('Análisis de Riesgos'!G520='Tablas AR'!$B$12,3,"")))</f>
        <v/>
      </c>
      <c r="I520" s="26" t="str">
        <f t="shared" si="8"/>
        <v/>
      </c>
    </row>
    <row r="521" spans="2:9" x14ac:dyDescent="0.3">
      <c r="B521" s="27" t="str">
        <f>IFERROR(INDEX(Activos!$B$3:$C$16, MATCH(C521,Activos!$B$3:$B$16),2),"")</f>
        <v/>
      </c>
      <c r="C521" s="27"/>
      <c r="D521" s="27"/>
      <c r="E521" s="25"/>
      <c r="F521" s="26" t="str">
        <f>IF(E521='Tablas AR'!$B$4,1,IF('Análisis de Riesgos'!E521='Tablas AR'!$B$5,2,IF('Análisis de Riesgos'!E521='Tablas AR'!$B$6,3,"")))</f>
        <v/>
      </c>
      <c r="G521" s="25"/>
      <c r="H521" s="26" t="str">
        <f>IF(G521='Tablas AR'!$B$10,1,IF('Análisis de Riesgos'!G521='Tablas AR'!$B$11,2,IF('Análisis de Riesgos'!G521='Tablas AR'!$B$12,3,"")))</f>
        <v/>
      </c>
      <c r="I521" s="26" t="str">
        <f t="shared" si="8"/>
        <v/>
      </c>
    </row>
    <row r="522" spans="2:9" x14ac:dyDescent="0.3">
      <c r="B522" s="27" t="str">
        <f>IFERROR(INDEX(Activos!$B$3:$C$16, MATCH(C522,Activos!$B$3:$B$16),2),"")</f>
        <v/>
      </c>
      <c r="C522" s="27"/>
      <c r="D522" s="27"/>
      <c r="E522" s="25"/>
      <c r="F522" s="26" t="str">
        <f>IF(E522='Tablas AR'!$B$4,1,IF('Análisis de Riesgos'!E522='Tablas AR'!$B$5,2,IF('Análisis de Riesgos'!E522='Tablas AR'!$B$6,3,"")))</f>
        <v/>
      </c>
      <c r="G522" s="25"/>
      <c r="H522" s="26" t="str">
        <f>IF(G522='Tablas AR'!$B$10,1,IF('Análisis de Riesgos'!G522='Tablas AR'!$B$11,2,IF('Análisis de Riesgos'!G522='Tablas AR'!$B$12,3,"")))</f>
        <v/>
      </c>
      <c r="I522" s="26" t="str">
        <f t="shared" si="8"/>
        <v/>
      </c>
    </row>
    <row r="523" spans="2:9" x14ac:dyDescent="0.3">
      <c r="B523" s="27" t="str">
        <f>IFERROR(INDEX(Activos!$B$3:$C$16, MATCH(C523,Activos!$B$3:$B$16),2),"")</f>
        <v/>
      </c>
      <c r="C523" s="27"/>
      <c r="D523" s="27"/>
      <c r="E523" s="25"/>
      <c r="F523" s="26" t="str">
        <f>IF(E523='Tablas AR'!$B$4,1,IF('Análisis de Riesgos'!E523='Tablas AR'!$B$5,2,IF('Análisis de Riesgos'!E523='Tablas AR'!$B$6,3,"")))</f>
        <v/>
      </c>
      <c r="G523" s="25"/>
      <c r="H523" s="26" t="str">
        <f>IF(G523='Tablas AR'!$B$10,1,IF('Análisis de Riesgos'!G523='Tablas AR'!$B$11,2,IF('Análisis de Riesgos'!G523='Tablas AR'!$B$12,3,"")))</f>
        <v/>
      </c>
      <c r="I523" s="26" t="str">
        <f t="shared" si="8"/>
        <v/>
      </c>
    </row>
    <row r="524" spans="2:9" x14ac:dyDescent="0.3">
      <c r="B524" s="27" t="str">
        <f>IFERROR(INDEX(Activos!$B$3:$C$16, MATCH(C524,Activos!$B$3:$B$16),2),"")</f>
        <v/>
      </c>
      <c r="C524" s="27"/>
      <c r="D524" s="27"/>
      <c r="E524" s="25"/>
      <c r="F524" s="26" t="str">
        <f>IF(E524='Tablas AR'!$B$4,1,IF('Análisis de Riesgos'!E524='Tablas AR'!$B$5,2,IF('Análisis de Riesgos'!E524='Tablas AR'!$B$6,3,"")))</f>
        <v/>
      </c>
      <c r="G524" s="25"/>
      <c r="H524" s="26" t="str">
        <f>IF(G524='Tablas AR'!$B$10,1,IF('Análisis de Riesgos'!G524='Tablas AR'!$B$11,2,IF('Análisis de Riesgos'!G524='Tablas AR'!$B$12,3,"")))</f>
        <v/>
      </c>
      <c r="I524" s="26" t="str">
        <f t="shared" si="8"/>
        <v/>
      </c>
    </row>
    <row r="525" spans="2:9" x14ac:dyDescent="0.3">
      <c r="B525" s="27" t="str">
        <f>IFERROR(INDEX(Activos!$B$3:$C$16, MATCH(C525,Activos!$B$3:$B$16),2),"")</f>
        <v/>
      </c>
      <c r="C525" s="27"/>
      <c r="D525" s="27"/>
      <c r="E525" s="25"/>
      <c r="F525" s="26" t="str">
        <f>IF(E525='Tablas AR'!$B$4,1,IF('Análisis de Riesgos'!E525='Tablas AR'!$B$5,2,IF('Análisis de Riesgos'!E525='Tablas AR'!$B$6,3,"")))</f>
        <v/>
      </c>
      <c r="G525" s="25"/>
      <c r="H525" s="26" t="str">
        <f>IF(G525='Tablas AR'!$B$10,1,IF('Análisis de Riesgos'!G525='Tablas AR'!$B$11,2,IF('Análisis de Riesgos'!G525='Tablas AR'!$B$12,3,"")))</f>
        <v/>
      </c>
      <c r="I525" s="26" t="str">
        <f t="shared" si="8"/>
        <v/>
      </c>
    </row>
    <row r="526" spans="2:9" x14ac:dyDescent="0.3">
      <c r="B526" s="27" t="str">
        <f>IFERROR(INDEX(Activos!$B$3:$C$16, MATCH(C526,Activos!$B$3:$B$16),2),"")</f>
        <v/>
      </c>
      <c r="C526" s="27"/>
      <c r="D526" s="27"/>
      <c r="E526" s="25"/>
      <c r="F526" s="26" t="str">
        <f>IF(E526='Tablas AR'!$B$4,1,IF('Análisis de Riesgos'!E526='Tablas AR'!$B$5,2,IF('Análisis de Riesgos'!E526='Tablas AR'!$B$6,3,"")))</f>
        <v/>
      </c>
      <c r="G526" s="25"/>
      <c r="H526" s="26" t="str">
        <f>IF(G526='Tablas AR'!$B$10,1,IF('Análisis de Riesgos'!G526='Tablas AR'!$B$11,2,IF('Análisis de Riesgos'!G526='Tablas AR'!$B$12,3,"")))</f>
        <v/>
      </c>
      <c r="I526" s="26" t="str">
        <f t="shared" si="8"/>
        <v/>
      </c>
    </row>
    <row r="527" spans="2:9" x14ac:dyDescent="0.3">
      <c r="B527" s="27" t="str">
        <f>IFERROR(INDEX(Activos!$B$3:$C$16, MATCH(C527,Activos!$B$3:$B$16),2),"")</f>
        <v/>
      </c>
      <c r="C527" s="27"/>
      <c r="D527" s="27"/>
      <c r="E527" s="25"/>
      <c r="F527" s="26" t="str">
        <f>IF(E527='Tablas AR'!$B$4,1,IF('Análisis de Riesgos'!E527='Tablas AR'!$B$5,2,IF('Análisis de Riesgos'!E527='Tablas AR'!$B$6,3,"")))</f>
        <v/>
      </c>
      <c r="G527" s="25"/>
      <c r="H527" s="26" t="str">
        <f>IF(G527='Tablas AR'!$B$10,1,IF('Análisis de Riesgos'!G527='Tablas AR'!$B$11,2,IF('Análisis de Riesgos'!G527='Tablas AR'!$B$12,3,"")))</f>
        <v/>
      </c>
      <c r="I527" s="26" t="str">
        <f t="shared" si="8"/>
        <v/>
      </c>
    </row>
    <row r="528" spans="2:9" x14ac:dyDescent="0.3">
      <c r="B528" s="27" t="str">
        <f>IFERROR(INDEX(Activos!$B$3:$C$16, MATCH(C528,Activos!$B$3:$B$16),2),"")</f>
        <v/>
      </c>
      <c r="C528" s="27"/>
      <c r="D528" s="27"/>
      <c r="E528" s="25"/>
      <c r="F528" s="26" t="str">
        <f>IF(E528='Tablas AR'!$B$4,1,IF('Análisis de Riesgos'!E528='Tablas AR'!$B$5,2,IF('Análisis de Riesgos'!E528='Tablas AR'!$B$6,3,"")))</f>
        <v/>
      </c>
      <c r="G528" s="25"/>
      <c r="H528" s="26" t="str">
        <f>IF(G528='Tablas AR'!$B$10,1,IF('Análisis de Riesgos'!G528='Tablas AR'!$B$11,2,IF('Análisis de Riesgos'!G528='Tablas AR'!$B$12,3,"")))</f>
        <v/>
      </c>
      <c r="I528" s="26" t="str">
        <f t="shared" si="8"/>
        <v/>
      </c>
    </row>
    <row r="529" spans="2:9" x14ac:dyDescent="0.3">
      <c r="B529" s="27" t="str">
        <f>IFERROR(INDEX(Activos!$B$3:$C$16, MATCH(C529,Activos!$B$3:$B$16),2),"")</f>
        <v/>
      </c>
      <c r="C529" s="27"/>
      <c r="D529" s="27"/>
      <c r="E529" s="25"/>
      <c r="F529" s="26" t="str">
        <f>IF(E529='Tablas AR'!$B$4,1,IF('Análisis de Riesgos'!E529='Tablas AR'!$B$5,2,IF('Análisis de Riesgos'!E529='Tablas AR'!$B$6,3,"")))</f>
        <v/>
      </c>
      <c r="G529" s="25"/>
      <c r="H529" s="26" t="str">
        <f>IF(G529='Tablas AR'!$B$10,1,IF('Análisis de Riesgos'!G529='Tablas AR'!$B$11,2,IF('Análisis de Riesgos'!G529='Tablas AR'!$B$12,3,"")))</f>
        <v/>
      </c>
      <c r="I529" s="26" t="str">
        <f t="shared" si="8"/>
        <v/>
      </c>
    </row>
    <row r="530" spans="2:9" x14ac:dyDescent="0.3">
      <c r="B530" s="27" t="str">
        <f>IFERROR(INDEX(Activos!$B$3:$C$16, MATCH(C530,Activos!$B$3:$B$16),2),"")</f>
        <v/>
      </c>
      <c r="C530" s="27"/>
      <c r="D530" s="27"/>
      <c r="E530" s="25"/>
      <c r="F530" s="26" t="str">
        <f>IF(E530='Tablas AR'!$B$4,1,IF('Análisis de Riesgos'!E530='Tablas AR'!$B$5,2,IF('Análisis de Riesgos'!E530='Tablas AR'!$B$6,3,"")))</f>
        <v/>
      </c>
      <c r="G530" s="25"/>
      <c r="H530" s="26" t="str">
        <f>IF(G530='Tablas AR'!$B$10,1,IF('Análisis de Riesgos'!G530='Tablas AR'!$B$11,2,IF('Análisis de Riesgos'!G530='Tablas AR'!$B$12,3,"")))</f>
        <v/>
      </c>
      <c r="I530" s="26" t="str">
        <f t="shared" si="8"/>
        <v/>
      </c>
    </row>
    <row r="531" spans="2:9" x14ac:dyDescent="0.3">
      <c r="B531" s="27" t="str">
        <f>IFERROR(INDEX(Activos!$B$3:$C$16, MATCH(C531,Activos!$B$3:$B$16),2),"")</f>
        <v/>
      </c>
      <c r="C531" s="27"/>
      <c r="D531" s="27"/>
      <c r="E531" s="25"/>
      <c r="F531" s="26" t="str">
        <f>IF(E531='Tablas AR'!$B$4,1,IF('Análisis de Riesgos'!E531='Tablas AR'!$B$5,2,IF('Análisis de Riesgos'!E531='Tablas AR'!$B$6,3,"")))</f>
        <v/>
      </c>
      <c r="G531" s="25"/>
      <c r="H531" s="26" t="str">
        <f>IF(G531='Tablas AR'!$B$10,1,IF('Análisis de Riesgos'!G531='Tablas AR'!$B$11,2,IF('Análisis de Riesgos'!G531='Tablas AR'!$B$12,3,"")))</f>
        <v/>
      </c>
      <c r="I531" s="26" t="str">
        <f t="shared" si="8"/>
        <v/>
      </c>
    </row>
    <row r="532" spans="2:9" x14ac:dyDescent="0.3">
      <c r="B532" s="27" t="str">
        <f>IFERROR(INDEX(Activos!$B$3:$C$16, MATCH(C532,Activos!$B$3:$B$16),2),"")</f>
        <v/>
      </c>
      <c r="C532" s="27"/>
      <c r="D532" s="27"/>
      <c r="E532" s="25"/>
      <c r="F532" s="26" t="str">
        <f>IF(E532='Tablas AR'!$B$4,1,IF('Análisis de Riesgos'!E532='Tablas AR'!$B$5,2,IF('Análisis de Riesgos'!E532='Tablas AR'!$B$6,3,"")))</f>
        <v/>
      </c>
      <c r="G532" s="25"/>
      <c r="H532" s="26" t="str">
        <f>IF(G532='Tablas AR'!$B$10,1,IF('Análisis de Riesgos'!G532='Tablas AR'!$B$11,2,IF('Análisis de Riesgos'!G532='Tablas AR'!$B$12,3,"")))</f>
        <v/>
      </c>
      <c r="I532" s="26" t="str">
        <f t="shared" si="8"/>
        <v/>
      </c>
    </row>
    <row r="533" spans="2:9" x14ac:dyDescent="0.3">
      <c r="B533" s="27" t="str">
        <f>IFERROR(INDEX(Activos!$B$3:$C$16, MATCH(C533,Activos!$B$3:$B$16),2),"")</f>
        <v/>
      </c>
      <c r="C533" s="27"/>
      <c r="D533" s="27"/>
      <c r="E533" s="25"/>
      <c r="F533" s="26" t="str">
        <f>IF(E533='Tablas AR'!$B$4,1,IF('Análisis de Riesgos'!E533='Tablas AR'!$B$5,2,IF('Análisis de Riesgos'!E533='Tablas AR'!$B$6,3,"")))</f>
        <v/>
      </c>
      <c r="G533" s="25"/>
      <c r="H533" s="26" t="str">
        <f>IF(G533='Tablas AR'!$B$10,1,IF('Análisis de Riesgos'!G533='Tablas AR'!$B$11,2,IF('Análisis de Riesgos'!G533='Tablas AR'!$B$12,3,"")))</f>
        <v/>
      </c>
      <c r="I533" s="26" t="str">
        <f t="shared" si="8"/>
        <v/>
      </c>
    </row>
    <row r="534" spans="2:9" x14ac:dyDescent="0.3">
      <c r="B534" s="27" t="str">
        <f>IFERROR(INDEX(Activos!$B$3:$C$16, MATCH(C534,Activos!$B$3:$B$16),2),"")</f>
        <v/>
      </c>
      <c r="C534" s="27"/>
      <c r="D534" s="27"/>
      <c r="E534" s="25"/>
      <c r="F534" s="26" t="str">
        <f>IF(E534='Tablas AR'!$B$4,1,IF('Análisis de Riesgos'!E534='Tablas AR'!$B$5,2,IF('Análisis de Riesgos'!E534='Tablas AR'!$B$6,3,"")))</f>
        <v/>
      </c>
      <c r="G534" s="25"/>
      <c r="H534" s="26" t="str">
        <f>IF(G534='Tablas AR'!$B$10,1,IF('Análisis de Riesgos'!G534='Tablas AR'!$B$11,2,IF('Análisis de Riesgos'!G534='Tablas AR'!$B$12,3,"")))</f>
        <v/>
      </c>
      <c r="I534" s="26" t="str">
        <f t="shared" si="8"/>
        <v/>
      </c>
    </row>
    <row r="535" spans="2:9" x14ac:dyDescent="0.3">
      <c r="B535" s="27" t="str">
        <f>IFERROR(INDEX(Activos!$B$3:$C$16, MATCH(C535,Activos!$B$3:$B$16),2),"")</f>
        <v/>
      </c>
      <c r="C535" s="27"/>
      <c r="D535" s="27"/>
      <c r="E535" s="25"/>
      <c r="F535" s="26" t="str">
        <f>IF(E535='Tablas AR'!$B$4,1,IF('Análisis de Riesgos'!E535='Tablas AR'!$B$5,2,IF('Análisis de Riesgos'!E535='Tablas AR'!$B$6,3,"")))</f>
        <v/>
      </c>
      <c r="G535" s="25"/>
      <c r="H535" s="26" t="str">
        <f>IF(G535='Tablas AR'!$B$10,1,IF('Análisis de Riesgos'!G535='Tablas AR'!$B$11,2,IF('Análisis de Riesgos'!G535='Tablas AR'!$B$12,3,"")))</f>
        <v/>
      </c>
      <c r="I535" s="26" t="str">
        <f t="shared" si="8"/>
        <v/>
      </c>
    </row>
    <row r="536" spans="2:9" x14ac:dyDescent="0.3">
      <c r="B536" s="27" t="str">
        <f>IFERROR(INDEX(Activos!$B$3:$C$16, MATCH(C536,Activos!$B$3:$B$16),2),"")</f>
        <v/>
      </c>
      <c r="C536" s="27"/>
      <c r="D536" s="27"/>
      <c r="E536" s="25"/>
      <c r="F536" s="26" t="str">
        <f>IF(E536='Tablas AR'!$B$4,1,IF('Análisis de Riesgos'!E536='Tablas AR'!$B$5,2,IF('Análisis de Riesgos'!E536='Tablas AR'!$B$6,3,"")))</f>
        <v/>
      </c>
      <c r="G536" s="25"/>
      <c r="H536" s="26" t="str">
        <f>IF(G536='Tablas AR'!$B$10,1,IF('Análisis de Riesgos'!G536='Tablas AR'!$B$11,2,IF('Análisis de Riesgos'!G536='Tablas AR'!$B$12,3,"")))</f>
        <v/>
      </c>
      <c r="I536" s="26" t="str">
        <f t="shared" si="8"/>
        <v/>
      </c>
    </row>
    <row r="537" spans="2:9" x14ac:dyDescent="0.3">
      <c r="B537" s="27" t="str">
        <f>IFERROR(INDEX(Activos!$B$3:$C$16, MATCH(C537,Activos!$B$3:$B$16),2),"")</f>
        <v/>
      </c>
      <c r="C537" s="27"/>
      <c r="D537" s="27"/>
      <c r="E537" s="25"/>
      <c r="F537" s="26" t="str">
        <f>IF(E537='Tablas AR'!$B$4,1,IF('Análisis de Riesgos'!E537='Tablas AR'!$B$5,2,IF('Análisis de Riesgos'!E537='Tablas AR'!$B$6,3,"")))</f>
        <v/>
      </c>
      <c r="G537" s="25"/>
      <c r="H537" s="26" t="str">
        <f>IF(G537='Tablas AR'!$B$10,1,IF('Análisis de Riesgos'!G537='Tablas AR'!$B$11,2,IF('Análisis de Riesgos'!G537='Tablas AR'!$B$12,3,"")))</f>
        <v/>
      </c>
      <c r="I537" s="26" t="str">
        <f t="shared" si="8"/>
        <v/>
      </c>
    </row>
    <row r="538" spans="2:9" x14ac:dyDescent="0.3">
      <c r="B538" s="27" t="str">
        <f>IFERROR(INDEX(Activos!$B$3:$C$16, MATCH(C538,Activos!$B$3:$B$16),2),"")</f>
        <v/>
      </c>
      <c r="C538" s="27"/>
      <c r="D538" s="27"/>
      <c r="E538" s="25"/>
      <c r="F538" s="26" t="str">
        <f>IF(E538='Tablas AR'!$B$4,1,IF('Análisis de Riesgos'!E538='Tablas AR'!$B$5,2,IF('Análisis de Riesgos'!E538='Tablas AR'!$B$6,3,"")))</f>
        <v/>
      </c>
      <c r="G538" s="25"/>
      <c r="H538" s="26" t="str">
        <f>IF(G538='Tablas AR'!$B$10,1,IF('Análisis de Riesgos'!G538='Tablas AR'!$B$11,2,IF('Análisis de Riesgos'!G538='Tablas AR'!$B$12,3,"")))</f>
        <v/>
      </c>
      <c r="I538" s="26" t="str">
        <f t="shared" si="8"/>
        <v/>
      </c>
    </row>
    <row r="539" spans="2:9" x14ac:dyDescent="0.3">
      <c r="B539" s="27" t="str">
        <f>IFERROR(INDEX(Activos!$B$3:$C$16, MATCH(C539,Activos!$B$3:$B$16),2),"")</f>
        <v/>
      </c>
      <c r="C539" s="27"/>
      <c r="D539" s="27"/>
      <c r="E539" s="25"/>
      <c r="F539" s="26" t="str">
        <f>IF(E539='Tablas AR'!$B$4,1,IF('Análisis de Riesgos'!E539='Tablas AR'!$B$5,2,IF('Análisis de Riesgos'!E539='Tablas AR'!$B$6,3,"")))</f>
        <v/>
      </c>
      <c r="G539" s="25"/>
      <c r="H539" s="26" t="str">
        <f>IF(G539='Tablas AR'!$B$10,1,IF('Análisis de Riesgos'!G539='Tablas AR'!$B$11,2,IF('Análisis de Riesgos'!G539='Tablas AR'!$B$12,3,"")))</f>
        <v/>
      </c>
      <c r="I539" s="26" t="str">
        <f t="shared" si="8"/>
        <v/>
      </c>
    </row>
    <row r="540" spans="2:9" x14ac:dyDescent="0.3">
      <c r="B540" s="27" t="str">
        <f>IFERROR(INDEX(Activos!$B$3:$C$16, MATCH(C540,Activos!$B$3:$B$16),2),"")</f>
        <v/>
      </c>
      <c r="C540" s="27"/>
      <c r="D540" s="27"/>
      <c r="E540" s="25"/>
      <c r="F540" s="26" t="str">
        <f>IF(E540='Tablas AR'!$B$4,1,IF('Análisis de Riesgos'!E540='Tablas AR'!$B$5,2,IF('Análisis de Riesgos'!E540='Tablas AR'!$B$6,3,"")))</f>
        <v/>
      </c>
      <c r="G540" s="25"/>
      <c r="H540" s="26" t="str">
        <f>IF(G540='Tablas AR'!$B$10,1,IF('Análisis de Riesgos'!G540='Tablas AR'!$B$11,2,IF('Análisis de Riesgos'!G540='Tablas AR'!$B$12,3,"")))</f>
        <v/>
      </c>
      <c r="I540" s="26" t="str">
        <f t="shared" si="8"/>
        <v/>
      </c>
    </row>
    <row r="541" spans="2:9" x14ac:dyDescent="0.3">
      <c r="B541" s="27" t="str">
        <f>IFERROR(INDEX(Activos!$B$3:$C$16, MATCH(C541,Activos!$B$3:$B$16),2),"")</f>
        <v/>
      </c>
      <c r="C541" s="27"/>
      <c r="D541" s="27"/>
      <c r="E541" s="25"/>
      <c r="F541" s="26" t="str">
        <f>IF(E541='Tablas AR'!$B$4,1,IF('Análisis de Riesgos'!E541='Tablas AR'!$B$5,2,IF('Análisis de Riesgos'!E541='Tablas AR'!$B$6,3,"")))</f>
        <v/>
      </c>
      <c r="G541" s="25"/>
      <c r="H541" s="26" t="str">
        <f>IF(G541='Tablas AR'!$B$10,1,IF('Análisis de Riesgos'!G541='Tablas AR'!$B$11,2,IF('Análisis de Riesgos'!G541='Tablas AR'!$B$12,3,"")))</f>
        <v/>
      </c>
      <c r="I541" s="26" t="str">
        <f t="shared" si="8"/>
        <v/>
      </c>
    </row>
    <row r="542" spans="2:9" x14ac:dyDescent="0.3">
      <c r="B542" s="27" t="str">
        <f>IFERROR(INDEX(Activos!$B$3:$C$16, MATCH(C542,Activos!$B$3:$B$16),2),"")</f>
        <v/>
      </c>
      <c r="C542" s="27"/>
      <c r="D542" s="27"/>
      <c r="E542" s="25"/>
      <c r="F542" s="26" t="str">
        <f>IF(E542='Tablas AR'!$B$4,1,IF('Análisis de Riesgos'!E542='Tablas AR'!$B$5,2,IF('Análisis de Riesgos'!E542='Tablas AR'!$B$6,3,"")))</f>
        <v/>
      </c>
      <c r="G542" s="25"/>
      <c r="H542" s="26" t="str">
        <f>IF(G542='Tablas AR'!$B$10,1,IF('Análisis de Riesgos'!G542='Tablas AR'!$B$11,2,IF('Análisis de Riesgos'!G542='Tablas AR'!$B$12,3,"")))</f>
        <v/>
      </c>
      <c r="I542" s="26" t="str">
        <f t="shared" si="8"/>
        <v/>
      </c>
    </row>
    <row r="543" spans="2:9" x14ac:dyDescent="0.3">
      <c r="B543" s="27" t="str">
        <f>IFERROR(INDEX(Activos!$B$3:$C$16, MATCH(C543,Activos!$B$3:$B$16),2),"")</f>
        <v/>
      </c>
      <c r="C543" s="27"/>
      <c r="D543" s="27"/>
      <c r="E543" s="25"/>
      <c r="F543" s="26" t="str">
        <f>IF(E543='Tablas AR'!$B$4,1,IF('Análisis de Riesgos'!E543='Tablas AR'!$B$5,2,IF('Análisis de Riesgos'!E543='Tablas AR'!$B$6,3,"")))</f>
        <v/>
      </c>
      <c r="G543" s="25"/>
      <c r="H543" s="26" t="str">
        <f>IF(G543='Tablas AR'!$B$10,1,IF('Análisis de Riesgos'!G543='Tablas AR'!$B$11,2,IF('Análisis de Riesgos'!G543='Tablas AR'!$B$12,3,"")))</f>
        <v/>
      </c>
      <c r="I543" s="26" t="str">
        <f t="shared" si="8"/>
        <v/>
      </c>
    </row>
    <row r="544" spans="2:9" x14ac:dyDescent="0.3">
      <c r="B544" s="27" t="str">
        <f>IFERROR(INDEX(Activos!$B$3:$C$16, MATCH(C544,Activos!$B$3:$B$16),2),"")</f>
        <v/>
      </c>
      <c r="C544" s="27"/>
      <c r="D544" s="27"/>
      <c r="E544" s="25"/>
      <c r="F544" s="26" t="str">
        <f>IF(E544='Tablas AR'!$B$4,1,IF('Análisis de Riesgos'!E544='Tablas AR'!$B$5,2,IF('Análisis de Riesgos'!E544='Tablas AR'!$B$6,3,"")))</f>
        <v/>
      </c>
      <c r="G544" s="25"/>
      <c r="H544" s="26" t="str">
        <f>IF(G544='Tablas AR'!$B$10,1,IF('Análisis de Riesgos'!G544='Tablas AR'!$B$11,2,IF('Análisis de Riesgos'!G544='Tablas AR'!$B$12,3,"")))</f>
        <v/>
      </c>
      <c r="I544" s="26" t="str">
        <f t="shared" si="8"/>
        <v/>
      </c>
    </row>
    <row r="545" spans="2:9" x14ac:dyDescent="0.3">
      <c r="B545" s="27" t="str">
        <f>IFERROR(INDEX(Activos!$B$3:$C$16, MATCH(C545,Activos!$B$3:$B$16),2),"")</f>
        <v/>
      </c>
      <c r="C545" s="27"/>
      <c r="D545" s="27"/>
      <c r="E545" s="25"/>
      <c r="F545" s="26" t="str">
        <f>IF(E545='Tablas AR'!$B$4,1,IF('Análisis de Riesgos'!E545='Tablas AR'!$B$5,2,IF('Análisis de Riesgos'!E545='Tablas AR'!$B$6,3,"")))</f>
        <v/>
      </c>
      <c r="G545" s="25"/>
      <c r="H545" s="26" t="str">
        <f>IF(G545='Tablas AR'!$B$10,1,IF('Análisis de Riesgos'!G545='Tablas AR'!$B$11,2,IF('Análisis de Riesgos'!G545='Tablas AR'!$B$12,3,"")))</f>
        <v/>
      </c>
      <c r="I545" s="26" t="str">
        <f t="shared" si="8"/>
        <v/>
      </c>
    </row>
    <row r="546" spans="2:9" x14ac:dyDescent="0.3">
      <c r="B546" s="27" t="str">
        <f>IFERROR(INDEX(Activos!$B$3:$C$16, MATCH(C546,Activos!$B$3:$B$16),2),"")</f>
        <v/>
      </c>
      <c r="C546" s="27"/>
      <c r="D546" s="27"/>
      <c r="E546" s="25"/>
      <c r="F546" s="26" t="str">
        <f>IF(E546='Tablas AR'!$B$4,1,IF('Análisis de Riesgos'!E546='Tablas AR'!$B$5,2,IF('Análisis de Riesgos'!E546='Tablas AR'!$B$6,3,"")))</f>
        <v/>
      </c>
      <c r="G546" s="25"/>
      <c r="H546" s="26" t="str">
        <f>IF(G546='Tablas AR'!$B$10,1,IF('Análisis de Riesgos'!G546='Tablas AR'!$B$11,2,IF('Análisis de Riesgos'!G546='Tablas AR'!$B$12,3,"")))</f>
        <v/>
      </c>
      <c r="I546" s="26" t="str">
        <f t="shared" si="8"/>
        <v/>
      </c>
    </row>
    <row r="547" spans="2:9" x14ac:dyDescent="0.3">
      <c r="B547" s="27" t="str">
        <f>IFERROR(INDEX(Activos!$B$3:$C$16, MATCH(C547,Activos!$B$3:$B$16),2),"")</f>
        <v/>
      </c>
      <c r="C547" s="27"/>
      <c r="D547" s="27"/>
      <c r="E547" s="25"/>
      <c r="F547" s="26" t="str">
        <f>IF(E547='Tablas AR'!$B$4,1,IF('Análisis de Riesgos'!E547='Tablas AR'!$B$5,2,IF('Análisis de Riesgos'!E547='Tablas AR'!$B$6,3,"")))</f>
        <v/>
      </c>
      <c r="G547" s="25"/>
      <c r="H547" s="26" t="str">
        <f>IF(G547='Tablas AR'!$B$10,1,IF('Análisis de Riesgos'!G547='Tablas AR'!$B$11,2,IF('Análisis de Riesgos'!G547='Tablas AR'!$B$12,3,"")))</f>
        <v/>
      </c>
      <c r="I547" s="26" t="str">
        <f t="shared" si="8"/>
        <v/>
      </c>
    </row>
    <row r="548" spans="2:9" x14ac:dyDescent="0.3">
      <c r="B548" s="27" t="str">
        <f>IFERROR(INDEX(Activos!$B$3:$C$16, MATCH(C548,Activos!$B$3:$B$16),2),"")</f>
        <v/>
      </c>
      <c r="C548" s="27"/>
      <c r="D548" s="27"/>
      <c r="E548" s="25"/>
      <c r="F548" s="26" t="str">
        <f>IF(E548='Tablas AR'!$B$4,1,IF('Análisis de Riesgos'!E548='Tablas AR'!$B$5,2,IF('Análisis de Riesgos'!E548='Tablas AR'!$B$6,3,"")))</f>
        <v/>
      </c>
      <c r="G548" s="25"/>
      <c r="H548" s="26" t="str">
        <f>IF(G548='Tablas AR'!$B$10,1,IF('Análisis de Riesgos'!G548='Tablas AR'!$B$11,2,IF('Análisis de Riesgos'!G548='Tablas AR'!$B$12,3,"")))</f>
        <v/>
      </c>
      <c r="I548" s="26" t="str">
        <f t="shared" si="8"/>
        <v/>
      </c>
    </row>
    <row r="549" spans="2:9" x14ac:dyDescent="0.3">
      <c r="B549" s="27" t="str">
        <f>IFERROR(INDEX(Activos!$B$3:$C$16, MATCH(C549,Activos!$B$3:$B$16),2),"")</f>
        <v/>
      </c>
      <c r="C549" s="27"/>
      <c r="D549" s="27"/>
      <c r="E549" s="25"/>
      <c r="F549" s="26" t="str">
        <f>IF(E549='Tablas AR'!$B$4,1,IF('Análisis de Riesgos'!E549='Tablas AR'!$B$5,2,IF('Análisis de Riesgos'!E549='Tablas AR'!$B$6,3,"")))</f>
        <v/>
      </c>
      <c r="G549" s="25"/>
      <c r="H549" s="26" t="str">
        <f>IF(G549='Tablas AR'!$B$10,1,IF('Análisis de Riesgos'!G549='Tablas AR'!$B$11,2,IF('Análisis de Riesgos'!G549='Tablas AR'!$B$12,3,"")))</f>
        <v/>
      </c>
      <c r="I549" s="26" t="str">
        <f t="shared" si="8"/>
        <v/>
      </c>
    </row>
    <row r="550" spans="2:9" x14ac:dyDescent="0.3">
      <c r="B550" s="27" t="str">
        <f>IFERROR(INDEX(Activos!$B$3:$C$16, MATCH(C550,Activos!$B$3:$B$16),2),"")</f>
        <v/>
      </c>
      <c r="C550" s="27"/>
      <c r="D550" s="27"/>
      <c r="E550" s="25"/>
      <c r="F550" s="26" t="str">
        <f>IF(E550='Tablas AR'!$B$4,1,IF('Análisis de Riesgos'!E550='Tablas AR'!$B$5,2,IF('Análisis de Riesgos'!E550='Tablas AR'!$B$6,3,"")))</f>
        <v/>
      </c>
      <c r="G550" s="25"/>
      <c r="H550" s="26" t="str">
        <f>IF(G550='Tablas AR'!$B$10,1,IF('Análisis de Riesgos'!G550='Tablas AR'!$B$11,2,IF('Análisis de Riesgos'!G550='Tablas AR'!$B$12,3,"")))</f>
        <v/>
      </c>
      <c r="I550" s="26" t="str">
        <f t="shared" si="8"/>
        <v/>
      </c>
    </row>
    <row r="551" spans="2:9" x14ac:dyDescent="0.3">
      <c r="B551" s="27" t="str">
        <f>IFERROR(INDEX(Activos!$B$3:$C$16, MATCH(C551,Activos!$B$3:$B$16),2),"")</f>
        <v/>
      </c>
      <c r="C551" s="27"/>
      <c r="D551" s="27"/>
      <c r="E551" s="25"/>
      <c r="F551" s="26" t="str">
        <f>IF(E551='Tablas AR'!$B$4,1,IF('Análisis de Riesgos'!E551='Tablas AR'!$B$5,2,IF('Análisis de Riesgos'!E551='Tablas AR'!$B$6,3,"")))</f>
        <v/>
      </c>
      <c r="G551" s="25"/>
      <c r="H551" s="26" t="str">
        <f>IF(G551='Tablas AR'!$B$10,1,IF('Análisis de Riesgos'!G551='Tablas AR'!$B$11,2,IF('Análisis de Riesgos'!G551='Tablas AR'!$B$12,3,"")))</f>
        <v/>
      </c>
      <c r="I551" s="26" t="str">
        <f t="shared" si="8"/>
        <v/>
      </c>
    </row>
    <row r="552" spans="2:9" x14ac:dyDescent="0.3">
      <c r="B552" s="27" t="str">
        <f>IFERROR(INDEX(Activos!$B$3:$C$16, MATCH(C552,Activos!$B$3:$B$16),2),"")</f>
        <v/>
      </c>
      <c r="C552" s="27"/>
      <c r="D552" s="27"/>
      <c r="E552" s="25"/>
      <c r="F552" s="26" t="str">
        <f>IF(E552='Tablas AR'!$B$4,1,IF('Análisis de Riesgos'!E552='Tablas AR'!$B$5,2,IF('Análisis de Riesgos'!E552='Tablas AR'!$B$6,3,"")))</f>
        <v/>
      </c>
      <c r="G552" s="25"/>
      <c r="H552" s="26" t="str">
        <f>IF(G552='Tablas AR'!$B$10,1,IF('Análisis de Riesgos'!G552='Tablas AR'!$B$11,2,IF('Análisis de Riesgos'!G552='Tablas AR'!$B$12,3,"")))</f>
        <v/>
      </c>
      <c r="I552" s="26" t="str">
        <f t="shared" si="8"/>
        <v/>
      </c>
    </row>
    <row r="553" spans="2:9" x14ac:dyDescent="0.3">
      <c r="B553" s="27" t="str">
        <f>IFERROR(INDEX(Activos!$B$3:$C$16, MATCH(C553,Activos!$B$3:$B$16),2),"")</f>
        <v/>
      </c>
      <c r="C553" s="27"/>
      <c r="D553" s="27"/>
      <c r="E553" s="25"/>
      <c r="F553" s="26" t="str">
        <f>IF(E553='Tablas AR'!$B$4,1,IF('Análisis de Riesgos'!E553='Tablas AR'!$B$5,2,IF('Análisis de Riesgos'!E553='Tablas AR'!$B$6,3,"")))</f>
        <v/>
      </c>
      <c r="G553" s="25"/>
      <c r="H553" s="26" t="str">
        <f>IF(G553='Tablas AR'!$B$10,1,IF('Análisis de Riesgos'!G553='Tablas AR'!$B$11,2,IF('Análisis de Riesgos'!G553='Tablas AR'!$B$12,3,"")))</f>
        <v/>
      </c>
      <c r="I553" s="26" t="str">
        <f t="shared" si="8"/>
        <v/>
      </c>
    </row>
    <row r="554" spans="2:9" x14ac:dyDescent="0.3">
      <c r="B554" s="27" t="str">
        <f>IFERROR(INDEX(Activos!$B$3:$C$16, MATCH(C554,Activos!$B$3:$B$16),2),"")</f>
        <v/>
      </c>
      <c r="C554" s="27"/>
      <c r="D554" s="27"/>
      <c r="E554" s="25"/>
      <c r="F554" s="26" t="str">
        <f>IF(E554='Tablas AR'!$B$4,1,IF('Análisis de Riesgos'!E554='Tablas AR'!$B$5,2,IF('Análisis de Riesgos'!E554='Tablas AR'!$B$6,3,"")))</f>
        <v/>
      </c>
      <c r="G554" s="25"/>
      <c r="H554" s="26" t="str">
        <f>IF(G554='Tablas AR'!$B$10,1,IF('Análisis de Riesgos'!G554='Tablas AR'!$B$11,2,IF('Análisis de Riesgos'!G554='Tablas AR'!$B$12,3,"")))</f>
        <v/>
      </c>
      <c r="I554" s="26" t="str">
        <f t="shared" si="8"/>
        <v/>
      </c>
    </row>
    <row r="555" spans="2:9" x14ac:dyDescent="0.3">
      <c r="B555" s="27" t="str">
        <f>IFERROR(INDEX(Activos!$B$3:$C$16, MATCH(C555,Activos!$B$3:$B$16),2),"")</f>
        <v/>
      </c>
      <c r="C555" s="27"/>
      <c r="D555" s="27"/>
      <c r="E555" s="25"/>
      <c r="F555" s="26" t="str">
        <f>IF(E555='Tablas AR'!$B$4,1,IF('Análisis de Riesgos'!E555='Tablas AR'!$B$5,2,IF('Análisis de Riesgos'!E555='Tablas AR'!$B$6,3,"")))</f>
        <v/>
      </c>
      <c r="G555" s="25"/>
      <c r="H555" s="26" t="str">
        <f>IF(G555='Tablas AR'!$B$10,1,IF('Análisis de Riesgos'!G555='Tablas AR'!$B$11,2,IF('Análisis de Riesgos'!G555='Tablas AR'!$B$12,3,"")))</f>
        <v/>
      </c>
      <c r="I555" s="26" t="str">
        <f t="shared" si="8"/>
        <v/>
      </c>
    </row>
    <row r="556" spans="2:9" x14ac:dyDescent="0.3">
      <c r="B556" s="27" t="str">
        <f>IFERROR(INDEX(Activos!$B$3:$C$16, MATCH(C556,Activos!$B$3:$B$16),2),"")</f>
        <v/>
      </c>
      <c r="C556" s="27"/>
      <c r="D556" s="27"/>
      <c r="E556" s="25"/>
      <c r="F556" s="26" t="str">
        <f>IF(E556='Tablas AR'!$B$4,1,IF('Análisis de Riesgos'!E556='Tablas AR'!$B$5,2,IF('Análisis de Riesgos'!E556='Tablas AR'!$B$6,3,"")))</f>
        <v/>
      </c>
      <c r="G556" s="25"/>
      <c r="H556" s="26" t="str">
        <f>IF(G556='Tablas AR'!$B$10,1,IF('Análisis de Riesgos'!G556='Tablas AR'!$B$11,2,IF('Análisis de Riesgos'!G556='Tablas AR'!$B$12,3,"")))</f>
        <v/>
      </c>
      <c r="I556" s="26" t="str">
        <f t="shared" si="8"/>
        <v/>
      </c>
    </row>
    <row r="557" spans="2:9" x14ac:dyDescent="0.3">
      <c r="B557" s="27" t="str">
        <f>IFERROR(INDEX(Activos!$B$3:$C$16, MATCH(C557,Activos!$B$3:$B$16),2),"")</f>
        <v/>
      </c>
      <c r="C557" s="27"/>
      <c r="D557" s="27"/>
      <c r="E557" s="25"/>
      <c r="F557" s="26" t="str">
        <f>IF(E557='Tablas AR'!$B$4,1,IF('Análisis de Riesgos'!E557='Tablas AR'!$B$5,2,IF('Análisis de Riesgos'!E557='Tablas AR'!$B$6,3,"")))</f>
        <v/>
      </c>
      <c r="G557" s="25"/>
      <c r="H557" s="26" t="str">
        <f>IF(G557='Tablas AR'!$B$10,1,IF('Análisis de Riesgos'!G557='Tablas AR'!$B$11,2,IF('Análisis de Riesgos'!G557='Tablas AR'!$B$12,3,"")))</f>
        <v/>
      </c>
      <c r="I557" s="26" t="str">
        <f t="shared" si="8"/>
        <v/>
      </c>
    </row>
    <row r="558" spans="2:9" x14ac:dyDescent="0.3">
      <c r="B558" s="27" t="str">
        <f>IFERROR(INDEX(Activos!$B$3:$C$16, MATCH(C558,Activos!$B$3:$B$16),2),"")</f>
        <v/>
      </c>
      <c r="C558" s="27"/>
      <c r="D558" s="27"/>
      <c r="E558" s="25"/>
      <c r="F558" s="26" t="str">
        <f>IF(E558='Tablas AR'!$B$4,1,IF('Análisis de Riesgos'!E558='Tablas AR'!$B$5,2,IF('Análisis de Riesgos'!E558='Tablas AR'!$B$6,3,"")))</f>
        <v/>
      </c>
      <c r="G558" s="25"/>
      <c r="H558" s="26" t="str">
        <f>IF(G558='Tablas AR'!$B$10,1,IF('Análisis de Riesgos'!G558='Tablas AR'!$B$11,2,IF('Análisis de Riesgos'!G558='Tablas AR'!$B$12,3,"")))</f>
        <v/>
      </c>
      <c r="I558" s="26" t="str">
        <f t="shared" si="8"/>
        <v/>
      </c>
    </row>
    <row r="559" spans="2:9" x14ac:dyDescent="0.3">
      <c r="B559" s="27" t="str">
        <f>IFERROR(INDEX(Activos!$B$3:$C$16, MATCH(C559,Activos!$B$3:$B$16),2),"")</f>
        <v/>
      </c>
      <c r="C559" s="27"/>
      <c r="D559" s="27"/>
      <c r="E559" s="25"/>
      <c r="F559" s="26" t="str">
        <f>IF(E559='Tablas AR'!$B$4,1,IF('Análisis de Riesgos'!E559='Tablas AR'!$B$5,2,IF('Análisis de Riesgos'!E559='Tablas AR'!$B$6,3,"")))</f>
        <v/>
      </c>
      <c r="G559" s="25"/>
      <c r="H559" s="26" t="str">
        <f>IF(G559='Tablas AR'!$B$10,1,IF('Análisis de Riesgos'!G559='Tablas AR'!$B$11,2,IF('Análisis de Riesgos'!G559='Tablas AR'!$B$12,3,"")))</f>
        <v/>
      </c>
      <c r="I559" s="26" t="str">
        <f t="shared" si="8"/>
        <v/>
      </c>
    </row>
    <row r="560" spans="2:9" x14ac:dyDescent="0.3">
      <c r="B560" s="27" t="str">
        <f>IFERROR(INDEX(Activos!$B$3:$C$16, MATCH(C560,Activos!$B$3:$B$16),2),"")</f>
        <v/>
      </c>
      <c r="C560" s="27"/>
      <c r="D560" s="27"/>
      <c r="E560" s="25"/>
      <c r="F560" s="26" t="str">
        <f>IF(E560='Tablas AR'!$B$4,1,IF('Análisis de Riesgos'!E560='Tablas AR'!$B$5,2,IF('Análisis de Riesgos'!E560='Tablas AR'!$B$6,3,"")))</f>
        <v/>
      </c>
      <c r="G560" s="25"/>
      <c r="H560" s="26" t="str">
        <f>IF(G560='Tablas AR'!$B$10,1,IF('Análisis de Riesgos'!G560='Tablas AR'!$B$11,2,IF('Análisis de Riesgos'!G560='Tablas AR'!$B$12,3,"")))</f>
        <v/>
      </c>
      <c r="I560" s="26" t="str">
        <f t="shared" si="8"/>
        <v/>
      </c>
    </row>
    <row r="561" spans="2:9" x14ac:dyDescent="0.3">
      <c r="B561" s="27" t="str">
        <f>IFERROR(INDEX(Activos!$B$3:$C$16, MATCH(C561,Activos!$B$3:$B$16),2),"")</f>
        <v/>
      </c>
      <c r="C561" s="27"/>
      <c r="D561" s="27"/>
      <c r="E561" s="25"/>
      <c r="F561" s="26" t="str">
        <f>IF(E561='Tablas AR'!$B$4,1,IF('Análisis de Riesgos'!E561='Tablas AR'!$B$5,2,IF('Análisis de Riesgos'!E561='Tablas AR'!$B$6,3,"")))</f>
        <v/>
      </c>
      <c r="G561" s="25"/>
      <c r="H561" s="26" t="str">
        <f>IF(G561='Tablas AR'!$B$10,1,IF('Análisis de Riesgos'!G561='Tablas AR'!$B$11,2,IF('Análisis de Riesgos'!G561='Tablas AR'!$B$12,3,"")))</f>
        <v/>
      </c>
      <c r="I561" s="26" t="str">
        <f t="shared" si="8"/>
        <v/>
      </c>
    </row>
    <row r="562" spans="2:9" x14ac:dyDescent="0.3">
      <c r="B562" s="27" t="str">
        <f>IFERROR(INDEX(Activos!$B$3:$C$16, MATCH(C562,Activos!$B$3:$B$16),2),"")</f>
        <v/>
      </c>
      <c r="C562" s="27"/>
      <c r="D562" s="27"/>
      <c r="E562" s="25"/>
      <c r="F562" s="26" t="str">
        <f>IF(E562='Tablas AR'!$B$4,1,IF('Análisis de Riesgos'!E562='Tablas AR'!$B$5,2,IF('Análisis de Riesgos'!E562='Tablas AR'!$B$6,3,"")))</f>
        <v/>
      </c>
      <c r="G562" s="25"/>
      <c r="H562" s="26" t="str">
        <f>IF(G562='Tablas AR'!$B$10,1,IF('Análisis de Riesgos'!G562='Tablas AR'!$B$11,2,IF('Análisis de Riesgos'!G562='Tablas AR'!$B$12,3,"")))</f>
        <v/>
      </c>
      <c r="I562" s="26" t="str">
        <f t="shared" si="8"/>
        <v/>
      </c>
    </row>
    <row r="563" spans="2:9" x14ac:dyDescent="0.3">
      <c r="B563" s="27" t="str">
        <f>IFERROR(INDEX(Activos!$B$3:$C$16, MATCH(C563,Activos!$B$3:$B$16),2),"")</f>
        <v/>
      </c>
      <c r="C563" s="27"/>
      <c r="D563" s="27"/>
      <c r="E563" s="25"/>
      <c r="F563" s="26" t="str">
        <f>IF(E563='Tablas AR'!$B$4,1,IF('Análisis de Riesgos'!E563='Tablas AR'!$B$5,2,IF('Análisis de Riesgos'!E563='Tablas AR'!$B$6,3,"")))</f>
        <v/>
      </c>
      <c r="G563" s="25"/>
      <c r="H563" s="26" t="str">
        <f>IF(G563='Tablas AR'!$B$10,1,IF('Análisis de Riesgos'!G563='Tablas AR'!$B$11,2,IF('Análisis de Riesgos'!G563='Tablas AR'!$B$12,3,"")))</f>
        <v/>
      </c>
      <c r="I563" s="26" t="str">
        <f t="shared" si="8"/>
        <v/>
      </c>
    </row>
    <row r="564" spans="2:9" x14ac:dyDescent="0.3">
      <c r="B564" s="27" t="str">
        <f>IFERROR(INDEX(Activos!$B$3:$C$16, MATCH(C564,Activos!$B$3:$B$16),2),"")</f>
        <v/>
      </c>
      <c r="C564" s="27"/>
      <c r="D564" s="27"/>
      <c r="E564" s="25"/>
      <c r="F564" s="26" t="str">
        <f>IF(E564='Tablas AR'!$B$4,1,IF('Análisis de Riesgos'!E564='Tablas AR'!$B$5,2,IF('Análisis de Riesgos'!E564='Tablas AR'!$B$6,3,"")))</f>
        <v/>
      </c>
      <c r="G564" s="25"/>
      <c r="H564" s="26" t="str">
        <f>IF(G564='Tablas AR'!$B$10,1,IF('Análisis de Riesgos'!G564='Tablas AR'!$B$11,2,IF('Análisis de Riesgos'!G564='Tablas AR'!$B$12,3,"")))</f>
        <v/>
      </c>
      <c r="I564" s="26" t="str">
        <f t="shared" si="8"/>
        <v/>
      </c>
    </row>
    <row r="565" spans="2:9" x14ac:dyDescent="0.3">
      <c r="B565" s="27" t="str">
        <f>IFERROR(INDEX(Activos!$B$3:$C$16, MATCH(C565,Activos!$B$3:$B$16),2),"")</f>
        <v/>
      </c>
      <c r="C565" s="27"/>
      <c r="D565" s="27"/>
      <c r="E565" s="25"/>
      <c r="F565" s="26" t="str">
        <f>IF(E565='Tablas AR'!$B$4,1,IF('Análisis de Riesgos'!E565='Tablas AR'!$B$5,2,IF('Análisis de Riesgos'!E565='Tablas AR'!$B$6,3,"")))</f>
        <v/>
      </c>
      <c r="G565" s="25"/>
      <c r="H565" s="26" t="str">
        <f>IF(G565='Tablas AR'!$B$10,1,IF('Análisis de Riesgos'!G565='Tablas AR'!$B$11,2,IF('Análisis de Riesgos'!G565='Tablas AR'!$B$12,3,"")))</f>
        <v/>
      </c>
      <c r="I565" s="26" t="str">
        <f t="shared" si="8"/>
        <v/>
      </c>
    </row>
    <row r="566" spans="2:9" x14ac:dyDescent="0.3">
      <c r="B566" s="27" t="str">
        <f>IFERROR(INDEX(Activos!$B$3:$C$16, MATCH(C566,Activos!$B$3:$B$16),2),"")</f>
        <v/>
      </c>
      <c r="C566" s="27"/>
      <c r="D566" s="27"/>
      <c r="E566" s="25"/>
      <c r="F566" s="26" t="str">
        <f>IF(E566='Tablas AR'!$B$4,1,IF('Análisis de Riesgos'!E566='Tablas AR'!$B$5,2,IF('Análisis de Riesgos'!E566='Tablas AR'!$B$6,3,"")))</f>
        <v/>
      </c>
      <c r="G566" s="25"/>
      <c r="H566" s="26" t="str">
        <f>IF(G566='Tablas AR'!$B$10,1,IF('Análisis de Riesgos'!G566='Tablas AR'!$B$11,2,IF('Análisis de Riesgos'!G566='Tablas AR'!$B$12,3,"")))</f>
        <v/>
      </c>
      <c r="I566" s="26" t="str">
        <f t="shared" si="8"/>
        <v/>
      </c>
    </row>
    <row r="567" spans="2:9" x14ac:dyDescent="0.3">
      <c r="B567" s="27" t="str">
        <f>IFERROR(INDEX(Activos!$B$3:$C$16, MATCH(C567,Activos!$B$3:$B$16),2),"")</f>
        <v/>
      </c>
      <c r="C567" s="27"/>
      <c r="D567" s="27"/>
      <c r="E567" s="25"/>
      <c r="F567" s="26" t="str">
        <f>IF(E567='Tablas AR'!$B$4,1,IF('Análisis de Riesgos'!E567='Tablas AR'!$B$5,2,IF('Análisis de Riesgos'!E567='Tablas AR'!$B$6,3,"")))</f>
        <v/>
      </c>
      <c r="G567" s="25"/>
      <c r="H567" s="26" t="str">
        <f>IF(G567='Tablas AR'!$B$10,1,IF('Análisis de Riesgos'!G567='Tablas AR'!$B$11,2,IF('Análisis de Riesgos'!G567='Tablas AR'!$B$12,3,"")))</f>
        <v/>
      </c>
      <c r="I567" s="26" t="str">
        <f t="shared" si="8"/>
        <v/>
      </c>
    </row>
    <row r="568" spans="2:9" x14ac:dyDescent="0.3">
      <c r="B568" s="27" t="str">
        <f>IFERROR(INDEX(Activos!$B$3:$C$16, MATCH(C568,Activos!$B$3:$B$16),2),"")</f>
        <v/>
      </c>
      <c r="C568" s="27"/>
      <c r="D568" s="27"/>
      <c r="E568" s="25"/>
      <c r="F568" s="26" t="str">
        <f>IF(E568='Tablas AR'!$B$4,1,IF('Análisis de Riesgos'!E568='Tablas AR'!$B$5,2,IF('Análisis de Riesgos'!E568='Tablas AR'!$B$6,3,"")))</f>
        <v/>
      </c>
      <c r="G568" s="25"/>
      <c r="H568" s="26" t="str">
        <f>IF(G568='Tablas AR'!$B$10,1,IF('Análisis de Riesgos'!G568='Tablas AR'!$B$11,2,IF('Análisis de Riesgos'!G568='Tablas AR'!$B$12,3,"")))</f>
        <v/>
      </c>
      <c r="I568" s="26" t="str">
        <f t="shared" si="8"/>
        <v/>
      </c>
    </row>
    <row r="569" spans="2:9" x14ac:dyDescent="0.3">
      <c r="B569" s="27" t="str">
        <f>IFERROR(INDEX(Activos!$B$3:$C$16, MATCH(C569,Activos!$B$3:$B$16),2),"")</f>
        <v/>
      </c>
      <c r="C569" s="27"/>
      <c r="D569" s="27"/>
      <c r="E569" s="25"/>
      <c r="F569" s="26" t="str">
        <f>IF(E569='Tablas AR'!$B$4,1,IF('Análisis de Riesgos'!E569='Tablas AR'!$B$5,2,IF('Análisis de Riesgos'!E569='Tablas AR'!$B$6,3,"")))</f>
        <v/>
      </c>
      <c r="G569" s="25"/>
      <c r="H569" s="26" t="str">
        <f>IF(G569='Tablas AR'!$B$10,1,IF('Análisis de Riesgos'!G569='Tablas AR'!$B$11,2,IF('Análisis de Riesgos'!G569='Tablas AR'!$B$12,3,"")))</f>
        <v/>
      </c>
      <c r="I569" s="26" t="str">
        <f t="shared" si="8"/>
        <v/>
      </c>
    </row>
    <row r="570" spans="2:9" x14ac:dyDescent="0.3">
      <c r="B570" s="27" t="str">
        <f>IFERROR(INDEX(Activos!$B$3:$C$16, MATCH(C570,Activos!$B$3:$B$16),2),"")</f>
        <v/>
      </c>
      <c r="C570" s="27"/>
      <c r="D570" s="27"/>
      <c r="E570" s="25"/>
      <c r="F570" s="26" t="str">
        <f>IF(E570='Tablas AR'!$B$4,1,IF('Análisis de Riesgos'!E570='Tablas AR'!$B$5,2,IF('Análisis de Riesgos'!E570='Tablas AR'!$B$6,3,"")))</f>
        <v/>
      </c>
      <c r="G570" s="25"/>
      <c r="H570" s="26" t="str">
        <f>IF(G570='Tablas AR'!$B$10,1,IF('Análisis de Riesgos'!G570='Tablas AR'!$B$11,2,IF('Análisis de Riesgos'!G570='Tablas AR'!$B$12,3,"")))</f>
        <v/>
      </c>
      <c r="I570" s="26" t="str">
        <f t="shared" si="8"/>
        <v/>
      </c>
    </row>
    <row r="571" spans="2:9" x14ac:dyDescent="0.3">
      <c r="B571" s="27" t="str">
        <f>IFERROR(INDEX(Activos!$B$3:$C$16, MATCH(C571,Activos!$B$3:$B$16),2),"")</f>
        <v/>
      </c>
      <c r="C571" s="27"/>
      <c r="D571" s="27"/>
      <c r="E571" s="25"/>
      <c r="F571" s="26" t="str">
        <f>IF(E571='Tablas AR'!$B$4,1,IF('Análisis de Riesgos'!E571='Tablas AR'!$B$5,2,IF('Análisis de Riesgos'!E571='Tablas AR'!$B$6,3,"")))</f>
        <v/>
      </c>
      <c r="G571" s="25"/>
      <c r="H571" s="26" t="str">
        <f>IF(G571='Tablas AR'!$B$10,1,IF('Análisis de Riesgos'!G571='Tablas AR'!$B$11,2,IF('Análisis de Riesgos'!G571='Tablas AR'!$B$12,3,"")))</f>
        <v/>
      </c>
      <c r="I571" s="26" t="str">
        <f t="shared" si="8"/>
        <v/>
      </c>
    </row>
    <row r="572" spans="2:9" x14ac:dyDescent="0.3">
      <c r="B572" s="27" t="str">
        <f>IFERROR(INDEX(Activos!$B$3:$C$16, MATCH(C572,Activos!$B$3:$B$16),2),"")</f>
        <v/>
      </c>
      <c r="C572" s="27"/>
      <c r="D572" s="27"/>
      <c r="E572" s="25"/>
      <c r="F572" s="26" t="str">
        <f>IF(E572='Tablas AR'!$B$4,1,IF('Análisis de Riesgos'!E572='Tablas AR'!$B$5,2,IF('Análisis de Riesgos'!E572='Tablas AR'!$B$6,3,"")))</f>
        <v/>
      </c>
      <c r="G572" s="25"/>
      <c r="H572" s="26" t="str">
        <f>IF(G572='Tablas AR'!$B$10,1,IF('Análisis de Riesgos'!G572='Tablas AR'!$B$11,2,IF('Análisis de Riesgos'!G572='Tablas AR'!$B$12,3,"")))</f>
        <v/>
      </c>
      <c r="I572" s="26" t="str">
        <f t="shared" si="8"/>
        <v/>
      </c>
    </row>
    <row r="573" spans="2:9" x14ac:dyDescent="0.3">
      <c r="B573" s="27" t="str">
        <f>IFERROR(INDEX(Activos!$B$3:$C$16, MATCH(C573,Activos!$B$3:$B$16),2),"")</f>
        <v/>
      </c>
      <c r="C573" s="27"/>
      <c r="D573" s="27"/>
      <c r="E573" s="25"/>
      <c r="F573" s="26" t="str">
        <f>IF(E573='Tablas AR'!$B$4,1,IF('Análisis de Riesgos'!E573='Tablas AR'!$B$5,2,IF('Análisis de Riesgos'!E573='Tablas AR'!$B$6,3,"")))</f>
        <v/>
      </c>
      <c r="G573" s="25"/>
      <c r="H573" s="26" t="str">
        <f>IF(G573='Tablas AR'!$B$10,1,IF('Análisis de Riesgos'!G573='Tablas AR'!$B$11,2,IF('Análisis de Riesgos'!G573='Tablas AR'!$B$12,3,"")))</f>
        <v/>
      </c>
      <c r="I573" s="26" t="str">
        <f t="shared" si="8"/>
        <v/>
      </c>
    </row>
    <row r="574" spans="2:9" x14ac:dyDescent="0.3">
      <c r="B574" s="27" t="str">
        <f>IFERROR(INDEX(Activos!$B$3:$C$16, MATCH(C574,Activos!$B$3:$B$16),2),"")</f>
        <v/>
      </c>
      <c r="C574" s="27"/>
      <c r="D574" s="27"/>
      <c r="E574" s="25"/>
      <c r="F574" s="26" t="str">
        <f>IF(E574='Tablas AR'!$B$4,1,IF('Análisis de Riesgos'!E574='Tablas AR'!$B$5,2,IF('Análisis de Riesgos'!E574='Tablas AR'!$B$6,3,"")))</f>
        <v/>
      </c>
      <c r="G574" s="25"/>
      <c r="H574" s="26" t="str">
        <f>IF(G574='Tablas AR'!$B$10,1,IF('Análisis de Riesgos'!G574='Tablas AR'!$B$11,2,IF('Análisis de Riesgos'!G574='Tablas AR'!$B$12,3,"")))</f>
        <v/>
      </c>
      <c r="I574" s="26" t="str">
        <f t="shared" si="8"/>
        <v/>
      </c>
    </row>
    <row r="575" spans="2:9" x14ac:dyDescent="0.3">
      <c r="B575" s="27" t="str">
        <f>IFERROR(INDEX(Activos!$B$3:$C$16, MATCH(C575,Activos!$B$3:$B$16),2),"")</f>
        <v/>
      </c>
      <c r="C575" s="27"/>
      <c r="D575" s="27"/>
      <c r="E575" s="25"/>
      <c r="F575" s="26" t="str">
        <f>IF(E575='Tablas AR'!$B$4,1,IF('Análisis de Riesgos'!E575='Tablas AR'!$B$5,2,IF('Análisis de Riesgos'!E575='Tablas AR'!$B$6,3,"")))</f>
        <v/>
      </c>
      <c r="G575" s="25"/>
      <c r="H575" s="26" t="str">
        <f>IF(G575='Tablas AR'!$B$10,1,IF('Análisis de Riesgos'!G575='Tablas AR'!$B$11,2,IF('Análisis de Riesgos'!G575='Tablas AR'!$B$12,3,"")))</f>
        <v/>
      </c>
      <c r="I575" s="26" t="str">
        <f t="shared" si="8"/>
        <v/>
      </c>
    </row>
    <row r="576" spans="2:9" x14ac:dyDescent="0.3">
      <c r="B576" s="27" t="str">
        <f>IFERROR(INDEX(Activos!$B$3:$C$16, MATCH(C576,Activos!$B$3:$B$16),2),"")</f>
        <v/>
      </c>
      <c r="C576" s="27"/>
      <c r="D576" s="27"/>
      <c r="E576" s="25"/>
      <c r="F576" s="26" t="str">
        <f>IF(E576='Tablas AR'!$B$4,1,IF('Análisis de Riesgos'!E576='Tablas AR'!$B$5,2,IF('Análisis de Riesgos'!E576='Tablas AR'!$B$6,3,"")))</f>
        <v/>
      </c>
      <c r="G576" s="25"/>
      <c r="H576" s="26" t="str">
        <f>IF(G576='Tablas AR'!$B$10,1,IF('Análisis de Riesgos'!G576='Tablas AR'!$B$11,2,IF('Análisis de Riesgos'!G576='Tablas AR'!$B$12,3,"")))</f>
        <v/>
      </c>
      <c r="I576" s="26" t="str">
        <f t="shared" si="8"/>
        <v/>
      </c>
    </row>
    <row r="577" spans="2:9" x14ac:dyDescent="0.3">
      <c r="B577" s="27" t="str">
        <f>IFERROR(INDEX(Activos!$B$3:$C$16, MATCH(C577,Activos!$B$3:$B$16),2),"")</f>
        <v/>
      </c>
      <c r="C577" s="27"/>
      <c r="D577" s="27"/>
      <c r="E577" s="25"/>
      <c r="F577" s="26" t="str">
        <f>IF(E577='Tablas AR'!$B$4,1,IF('Análisis de Riesgos'!E577='Tablas AR'!$B$5,2,IF('Análisis de Riesgos'!E577='Tablas AR'!$B$6,3,"")))</f>
        <v/>
      </c>
      <c r="G577" s="25"/>
      <c r="H577" s="26" t="str">
        <f>IF(G577='Tablas AR'!$B$10,1,IF('Análisis de Riesgos'!G577='Tablas AR'!$B$11,2,IF('Análisis de Riesgos'!G577='Tablas AR'!$B$12,3,"")))</f>
        <v/>
      </c>
      <c r="I577" s="26" t="str">
        <f t="shared" si="8"/>
        <v/>
      </c>
    </row>
    <row r="578" spans="2:9" x14ac:dyDescent="0.3">
      <c r="B578" s="27" t="str">
        <f>IFERROR(INDEX(Activos!$B$3:$C$16, MATCH(C578,Activos!$B$3:$B$16),2),"")</f>
        <v/>
      </c>
      <c r="C578" s="27"/>
      <c r="D578" s="27"/>
      <c r="E578" s="25"/>
      <c r="F578" s="26" t="str">
        <f>IF(E578='Tablas AR'!$B$4,1,IF('Análisis de Riesgos'!E578='Tablas AR'!$B$5,2,IF('Análisis de Riesgos'!E578='Tablas AR'!$B$6,3,"")))</f>
        <v/>
      </c>
      <c r="G578" s="25"/>
      <c r="H578" s="26" t="str">
        <f>IF(G578='Tablas AR'!$B$10,1,IF('Análisis de Riesgos'!G578='Tablas AR'!$B$11,2,IF('Análisis de Riesgos'!G578='Tablas AR'!$B$12,3,"")))</f>
        <v/>
      </c>
      <c r="I578" s="26" t="str">
        <f t="shared" si="8"/>
        <v/>
      </c>
    </row>
    <row r="579" spans="2:9" x14ac:dyDescent="0.3">
      <c r="B579" s="27" t="str">
        <f>IFERROR(INDEX(Activos!$B$3:$C$16, MATCH(C579,Activos!$B$3:$B$16),2),"")</f>
        <v/>
      </c>
      <c r="C579" s="27"/>
      <c r="D579" s="27"/>
      <c r="E579" s="25"/>
      <c r="F579" s="26" t="str">
        <f>IF(E579='Tablas AR'!$B$4,1,IF('Análisis de Riesgos'!E579='Tablas AR'!$B$5,2,IF('Análisis de Riesgos'!E579='Tablas AR'!$B$6,3,"")))</f>
        <v/>
      </c>
      <c r="G579" s="25"/>
      <c r="H579" s="26" t="str">
        <f>IF(G579='Tablas AR'!$B$10,1,IF('Análisis de Riesgos'!G579='Tablas AR'!$B$11,2,IF('Análisis de Riesgos'!G579='Tablas AR'!$B$12,3,"")))</f>
        <v/>
      </c>
      <c r="I579" s="26" t="str">
        <f t="shared" si="8"/>
        <v/>
      </c>
    </row>
    <row r="580" spans="2:9" x14ac:dyDescent="0.3">
      <c r="B580" s="27" t="str">
        <f>IFERROR(INDEX(Activos!$B$3:$C$16, MATCH(C580,Activos!$B$3:$B$16),2),"")</f>
        <v/>
      </c>
      <c r="C580" s="27"/>
      <c r="D580" s="27"/>
      <c r="E580" s="25"/>
      <c r="F580" s="26" t="str">
        <f>IF(E580='Tablas AR'!$B$4,1,IF('Análisis de Riesgos'!E580='Tablas AR'!$B$5,2,IF('Análisis de Riesgos'!E580='Tablas AR'!$B$6,3,"")))</f>
        <v/>
      </c>
      <c r="G580" s="25"/>
      <c r="H580" s="26" t="str">
        <f>IF(G580='Tablas AR'!$B$10,1,IF('Análisis de Riesgos'!G580='Tablas AR'!$B$11,2,IF('Análisis de Riesgos'!G580='Tablas AR'!$B$12,3,"")))</f>
        <v/>
      </c>
      <c r="I580" s="26" t="str">
        <f t="shared" ref="I580:I643" si="9" xml:space="preserve"> IFERROR(F580*H580,"")</f>
        <v/>
      </c>
    </row>
    <row r="581" spans="2:9" x14ac:dyDescent="0.3">
      <c r="B581" s="27" t="str">
        <f>IFERROR(INDEX(Activos!$B$3:$C$16, MATCH(C581,Activos!$B$3:$B$16),2),"")</f>
        <v/>
      </c>
      <c r="C581" s="27"/>
      <c r="D581" s="27"/>
      <c r="E581" s="25"/>
      <c r="F581" s="26" t="str">
        <f>IF(E581='Tablas AR'!$B$4,1,IF('Análisis de Riesgos'!E581='Tablas AR'!$B$5,2,IF('Análisis de Riesgos'!E581='Tablas AR'!$B$6,3,"")))</f>
        <v/>
      </c>
      <c r="G581" s="25"/>
      <c r="H581" s="26" t="str">
        <f>IF(G581='Tablas AR'!$B$10,1,IF('Análisis de Riesgos'!G581='Tablas AR'!$B$11,2,IF('Análisis de Riesgos'!G581='Tablas AR'!$B$12,3,"")))</f>
        <v/>
      </c>
      <c r="I581" s="26" t="str">
        <f t="shared" si="9"/>
        <v/>
      </c>
    </row>
    <row r="582" spans="2:9" x14ac:dyDescent="0.3">
      <c r="B582" s="27" t="str">
        <f>IFERROR(INDEX(Activos!$B$3:$C$16, MATCH(C582,Activos!$B$3:$B$16),2),"")</f>
        <v/>
      </c>
      <c r="C582" s="27"/>
      <c r="D582" s="27"/>
      <c r="E582" s="25"/>
      <c r="F582" s="26" t="str">
        <f>IF(E582='Tablas AR'!$B$4,1,IF('Análisis de Riesgos'!E582='Tablas AR'!$B$5,2,IF('Análisis de Riesgos'!E582='Tablas AR'!$B$6,3,"")))</f>
        <v/>
      </c>
      <c r="G582" s="25"/>
      <c r="H582" s="26" t="str">
        <f>IF(G582='Tablas AR'!$B$10,1,IF('Análisis de Riesgos'!G582='Tablas AR'!$B$11,2,IF('Análisis de Riesgos'!G582='Tablas AR'!$B$12,3,"")))</f>
        <v/>
      </c>
      <c r="I582" s="26" t="str">
        <f t="shared" si="9"/>
        <v/>
      </c>
    </row>
    <row r="583" spans="2:9" x14ac:dyDescent="0.3">
      <c r="B583" s="27" t="str">
        <f>IFERROR(INDEX(Activos!$B$3:$C$16, MATCH(C583,Activos!$B$3:$B$16),2),"")</f>
        <v/>
      </c>
      <c r="C583" s="27"/>
      <c r="D583" s="27"/>
      <c r="E583" s="25"/>
      <c r="F583" s="26" t="str">
        <f>IF(E583='Tablas AR'!$B$4,1,IF('Análisis de Riesgos'!E583='Tablas AR'!$B$5,2,IF('Análisis de Riesgos'!E583='Tablas AR'!$B$6,3,"")))</f>
        <v/>
      </c>
      <c r="G583" s="25"/>
      <c r="H583" s="26" t="str">
        <f>IF(G583='Tablas AR'!$B$10,1,IF('Análisis de Riesgos'!G583='Tablas AR'!$B$11,2,IF('Análisis de Riesgos'!G583='Tablas AR'!$B$12,3,"")))</f>
        <v/>
      </c>
      <c r="I583" s="26" t="str">
        <f t="shared" si="9"/>
        <v/>
      </c>
    </row>
    <row r="584" spans="2:9" x14ac:dyDescent="0.3">
      <c r="B584" s="27" t="str">
        <f>IFERROR(INDEX(Activos!$B$3:$C$16, MATCH(C584,Activos!$B$3:$B$16),2),"")</f>
        <v/>
      </c>
      <c r="C584" s="27"/>
      <c r="D584" s="27"/>
      <c r="E584" s="25"/>
      <c r="F584" s="26" t="str">
        <f>IF(E584='Tablas AR'!$B$4,1,IF('Análisis de Riesgos'!E584='Tablas AR'!$B$5,2,IF('Análisis de Riesgos'!E584='Tablas AR'!$B$6,3,"")))</f>
        <v/>
      </c>
      <c r="G584" s="25"/>
      <c r="H584" s="26" t="str">
        <f>IF(G584='Tablas AR'!$B$10,1,IF('Análisis de Riesgos'!G584='Tablas AR'!$B$11,2,IF('Análisis de Riesgos'!G584='Tablas AR'!$B$12,3,"")))</f>
        <v/>
      </c>
      <c r="I584" s="26" t="str">
        <f t="shared" si="9"/>
        <v/>
      </c>
    </row>
    <row r="585" spans="2:9" x14ac:dyDescent="0.3">
      <c r="B585" s="27" t="str">
        <f>IFERROR(INDEX(Activos!$B$3:$C$16, MATCH(C585,Activos!$B$3:$B$16),2),"")</f>
        <v/>
      </c>
      <c r="C585" s="27"/>
      <c r="D585" s="27"/>
      <c r="E585" s="25"/>
      <c r="F585" s="26" t="str">
        <f>IF(E585='Tablas AR'!$B$4,1,IF('Análisis de Riesgos'!E585='Tablas AR'!$B$5,2,IF('Análisis de Riesgos'!E585='Tablas AR'!$B$6,3,"")))</f>
        <v/>
      </c>
      <c r="G585" s="25"/>
      <c r="H585" s="26" t="str">
        <f>IF(G585='Tablas AR'!$B$10,1,IF('Análisis de Riesgos'!G585='Tablas AR'!$B$11,2,IF('Análisis de Riesgos'!G585='Tablas AR'!$B$12,3,"")))</f>
        <v/>
      </c>
      <c r="I585" s="26" t="str">
        <f t="shared" si="9"/>
        <v/>
      </c>
    </row>
    <row r="586" spans="2:9" x14ac:dyDescent="0.3">
      <c r="B586" s="27" t="str">
        <f>IFERROR(INDEX(Activos!$B$3:$C$16, MATCH(C586,Activos!$B$3:$B$16),2),"")</f>
        <v/>
      </c>
      <c r="C586" s="27"/>
      <c r="D586" s="27"/>
      <c r="E586" s="25"/>
      <c r="F586" s="26" t="str">
        <f>IF(E586='Tablas AR'!$B$4,1,IF('Análisis de Riesgos'!E586='Tablas AR'!$B$5,2,IF('Análisis de Riesgos'!E586='Tablas AR'!$B$6,3,"")))</f>
        <v/>
      </c>
      <c r="G586" s="25"/>
      <c r="H586" s="26" t="str">
        <f>IF(G586='Tablas AR'!$B$10,1,IF('Análisis de Riesgos'!G586='Tablas AR'!$B$11,2,IF('Análisis de Riesgos'!G586='Tablas AR'!$B$12,3,"")))</f>
        <v/>
      </c>
      <c r="I586" s="26" t="str">
        <f t="shared" si="9"/>
        <v/>
      </c>
    </row>
    <row r="587" spans="2:9" x14ac:dyDescent="0.3">
      <c r="B587" s="27" t="str">
        <f>IFERROR(INDEX(Activos!$B$3:$C$16, MATCH(C587,Activos!$B$3:$B$16),2),"")</f>
        <v/>
      </c>
      <c r="C587" s="27"/>
      <c r="D587" s="27"/>
      <c r="E587" s="25"/>
      <c r="F587" s="26" t="str">
        <f>IF(E587='Tablas AR'!$B$4,1,IF('Análisis de Riesgos'!E587='Tablas AR'!$B$5,2,IF('Análisis de Riesgos'!E587='Tablas AR'!$B$6,3,"")))</f>
        <v/>
      </c>
      <c r="G587" s="25"/>
      <c r="H587" s="26" t="str">
        <f>IF(G587='Tablas AR'!$B$10,1,IF('Análisis de Riesgos'!G587='Tablas AR'!$B$11,2,IF('Análisis de Riesgos'!G587='Tablas AR'!$B$12,3,"")))</f>
        <v/>
      </c>
      <c r="I587" s="26" t="str">
        <f t="shared" si="9"/>
        <v/>
      </c>
    </row>
    <row r="588" spans="2:9" x14ac:dyDescent="0.3">
      <c r="B588" s="27" t="str">
        <f>IFERROR(INDEX(Activos!$B$3:$C$16, MATCH(C588,Activos!$B$3:$B$16),2),"")</f>
        <v/>
      </c>
      <c r="C588" s="27"/>
      <c r="D588" s="27"/>
      <c r="E588" s="25"/>
      <c r="F588" s="26" t="str">
        <f>IF(E588='Tablas AR'!$B$4,1,IF('Análisis de Riesgos'!E588='Tablas AR'!$B$5,2,IF('Análisis de Riesgos'!E588='Tablas AR'!$B$6,3,"")))</f>
        <v/>
      </c>
      <c r="G588" s="25"/>
      <c r="H588" s="26" t="str">
        <f>IF(G588='Tablas AR'!$B$10,1,IF('Análisis de Riesgos'!G588='Tablas AR'!$B$11,2,IF('Análisis de Riesgos'!G588='Tablas AR'!$B$12,3,"")))</f>
        <v/>
      </c>
      <c r="I588" s="26" t="str">
        <f t="shared" si="9"/>
        <v/>
      </c>
    </row>
    <row r="589" spans="2:9" x14ac:dyDescent="0.3">
      <c r="B589" s="27" t="str">
        <f>IFERROR(INDEX(Activos!$B$3:$C$16, MATCH(C589,Activos!$B$3:$B$16),2),"")</f>
        <v/>
      </c>
      <c r="C589" s="27"/>
      <c r="D589" s="27"/>
      <c r="E589" s="25"/>
      <c r="F589" s="26" t="str">
        <f>IF(E589='Tablas AR'!$B$4,1,IF('Análisis de Riesgos'!E589='Tablas AR'!$B$5,2,IF('Análisis de Riesgos'!E589='Tablas AR'!$B$6,3,"")))</f>
        <v/>
      </c>
      <c r="G589" s="25"/>
      <c r="H589" s="26" t="str">
        <f>IF(G589='Tablas AR'!$B$10,1,IF('Análisis de Riesgos'!G589='Tablas AR'!$B$11,2,IF('Análisis de Riesgos'!G589='Tablas AR'!$B$12,3,"")))</f>
        <v/>
      </c>
      <c r="I589" s="26" t="str">
        <f t="shared" si="9"/>
        <v/>
      </c>
    </row>
    <row r="590" spans="2:9" x14ac:dyDescent="0.3">
      <c r="B590" s="27" t="str">
        <f>IFERROR(INDEX(Activos!$B$3:$C$16, MATCH(C590,Activos!$B$3:$B$16),2),"")</f>
        <v/>
      </c>
      <c r="C590" s="27"/>
      <c r="D590" s="27"/>
      <c r="E590" s="25"/>
      <c r="F590" s="26" t="str">
        <f>IF(E590='Tablas AR'!$B$4,1,IF('Análisis de Riesgos'!E590='Tablas AR'!$B$5,2,IF('Análisis de Riesgos'!E590='Tablas AR'!$B$6,3,"")))</f>
        <v/>
      </c>
      <c r="G590" s="25"/>
      <c r="H590" s="26" t="str">
        <f>IF(G590='Tablas AR'!$B$10,1,IF('Análisis de Riesgos'!G590='Tablas AR'!$B$11,2,IF('Análisis de Riesgos'!G590='Tablas AR'!$B$12,3,"")))</f>
        <v/>
      </c>
      <c r="I590" s="26" t="str">
        <f t="shared" si="9"/>
        <v/>
      </c>
    </row>
    <row r="591" spans="2:9" x14ac:dyDescent="0.3">
      <c r="B591" s="27" t="str">
        <f>IFERROR(INDEX(Activos!$B$3:$C$16, MATCH(C591,Activos!$B$3:$B$16),2),"")</f>
        <v/>
      </c>
      <c r="C591" s="27"/>
      <c r="D591" s="27"/>
      <c r="E591" s="25"/>
      <c r="F591" s="26" t="str">
        <f>IF(E591='Tablas AR'!$B$4,1,IF('Análisis de Riesgos'!E591='Tablas AR'!$B$5,2,IF('Análisis de Riesgos'!E591='Tablas AR'!$B$6,3,"")))</f>
        <v/>
      </c>
      <c r="G591" s="25"/>
      <c r="H591" s="26" t="str">
        <f>IF(G591='Tablas AR'!$B$10,1,IF('Análisis de Riesgos'!G591='Tablas AR'!$B$11,2,IF('Análisis de Riesgos'!G591='Tablas AR'!$B$12,3,"")))</f>
        <v/>
      </c>
      <c r="I591" s="26" t="str">
        <f t="shared" si="9"/>
        <v/>
      </c>
    </row>
    <row r="592" spans="2:9" x14ac:dyDescent="0.3">
      <c r="B592" s="27" t="str">
        <f>IFERROR(INDEX(Activos!$B$3:$C$16, MATCH(C592,Activos!$B$3:$B$16),2),"")</f>
        <v/>
      </c>
      <c r="C592" s="27"/>
      <c r="D592" s="27"/>
      <c r="E592" s="25"/>
      <c r="F592" s="26" t="str">
        <f>IF(E592='Tablas AR'!$B$4,1,IF('Análisis de Riesgos'!E592='Tablas AR'!$B$5,2,IF('Análisis de Riesgos'!E592='Tablas AR'!$B$6,3,"")))</f>
        <v/>
      </c>
      <c r="G592" s="25"/>
      <c r="H592" s="26" t="str">
        <f>IF(G592='Tablas AR'!$B$10,1,IF('Análisis de Riesgos'!G592='Tablas AR'!$B$11,2,IF('Análisis de Riesgos'!G592='Tablas AR'!$B$12,3,"")))</f>
        <v/>
      </c>
      <c r="I592" s="26" t="str">
        <f t="shared" si="9"/>
        <v/>
      </c>
    </row>
    <row r="593" spans="2:9" x14ac:dyDescent="0.3">
      <c r="B593" s="27" t="str">
        <f>IFERROR(INDEX(Activos!$B$3:$C$16, MATCH(C593,Activos!$B$3:$B$16),2),"")</f>
        <v/>
      </c>
      <c r="C593" s="27"/>
      <c r="D593" s="27"/>
      <c r="E593" s="25"/>
      <c r="F593" s="26" t="str">
        <f>IF(E593='Tablas AR'!$B$4,1,IF('Análisis de Riesgos'!E593='Tablas AR'!$B$5,2,IF('Análisis de Riesgos'!E593='Tablas AR'!$B$6,3,"")))</f>
        <v/>
      </c>
      <c r="G593" s="25"/>
      <c r="H593" s="26" t="str">
        <f>IF(G593='Tablas AR'!$B$10,1,IF('Análisis de Riesgos'!G593='Tablas AR'!$B$11,2,IF('Análisis de Riesgos'!G593='Tablas AR'!$B$12,3,"")))</f>
        <v/>
      </c>
      <c r="I593" s="26" t="str">
        <f t="shared" si="9"/>
        <v/>
      </c>
    </row>
    <row r="594" spans="2:9" x14ac:dyDescent="0.3">
      <c r="B594" s="27" t="str">
        <f>IFERROR(INDEX(Activos!$B$3:$C$16, MATCH(C594,Activos!$B$3:$B$16),2),"")</f>
        <v/>
      </c>
      <c r="C594" s="27"/>
      <c r="D594" s="27"/>
      <c r="E594" s="25"/>
      <c r="F594" s="26" t="str">
        <f>IF(E594='Tablas AR'!$B$4,1,IF('Análisis de Riesgos'!E594='Tablas AR'!$B$5,2,IF('Análisis de Riesgos'!E594='Tablas AR'!$B$6,3,"")))</f>
        <v/>
      </c>
      <c r="G594" s="25"/>
      <c r="H594" s="26" t="str">
        <f>IF(G594='Tablas AR'!$B$10,1,IF('Análisis de Riesgos'!G594='Tablas AR'!$B$11,2,IF('Análisis de Riesgos'!G594='Tablas AR'!$B$12,3,"")))</f>
        <v/>
      </c>
      <c r="I594" s="26" t="str">
        <f t="shared" si="9"/>
        <v/>
      </c>
    </row>
    <row r="595" spans="2:9" x14ac:dyDescent="0.3">
      <c r="B595" s="27" t="str">
        <f>IFERROR(INDEX(Activos!$B$3:$C$16, MATCH(C595,Activos!$B$3:$B$16),2),"")</f>
        <v/>
      </c>
      <c r="C595" s="27"/>
      <c r="D595" s="27"/>
      <c r="E595" s="25"/>
      <c r="F595" s="26" t="str">
        <f>IF(E595='Tablas AR'!$B$4,1,IF('Análisis de Riesgos'!E595='Tablas AR'!$B$5,2,IF('Análisis de Riesgos'!E595='Tablas AR'!$B$6,3,"")))</f>
        <v/>
      </c>
      <c r="G595" s="25"/>
      <c r="H595" s="26" t="str">
        <f>IF(G595='Tablas AR'!$B$10,1,IF('Análisis de Riesgos'!G595='Tablas AR'!$B$11,2,IF('Análisis de Riesgos'!G595='Tablas AR'!$B$12,3,"")))</f>
        <v/>
      </c>
      <c r="I595" s="26" t="str">
        <f t="shared" si="9"/>
        <v/>
      </c>
    </row>
    <row r="596" spans="2:9" x14ac:dyDescent="0.3">
      <c r="B596" s="27" t="str">
        <f>IFERROR(INDEX(Activos!$B$3:$C$16, MATCH(C596,Activos!$B$3:$B$16),2),"")</f>
        <v/>
      </c>
      <c r="C596" s="27"/>
      <c r="D596" s="27"/>
      <c r="E596" s="25"/>
      <c r="F596" s="26" t="str">
        <f>IF(E596='Tablas AR'!$B$4,1,IF('Análisis de Riesgos'!E596='Tablas AR'!$B$5,2,IF('Análisis de Riesgos'!E596='Tablas AR'!$B$6,3,"")))</f>
        <v/>
      </c>
      <c r="G596" s="25"/>
      <c r="H596" s="26" t="str">
        <f>IF(G596='Tablas AR'!$B$10,1,IF('Análisis de Riesgos'!G596='Tablas AR'!$B$11,2,IF('Análisis de Riesgos'!G596='Tablas AR'!$B$12,3,"")))</f>
        <v/>
      </c>
      <c r="I596" s="26" t="str">
        <f t="shared" si="9"/>
        <v/>
      </c>
    </row>
    <row r="597" spans="2:9" x14ac:dyDescent="0.3">
      <c r="B597" s="27" t="str">
        <f>IFERROR(INDEX(Activos!$B$3:$C$16, MATCH(C597,Activos!$B$3:$B$16),2),"")</f>
        <v/>
      </c>
      <c r="C597" s="27"/>
      <c r="D597" s="27"/>
      <c r="E597" s="25"/>
      <c r="F597" s="26" t="str">
        <f>IF(E597='Tablas AR'!$B$4,1,IF('Análisis de Riesgos'!E597='Tablas AR'!$B$5,2,IF('Análisis de Riesgos'!E597='Tablas AR'!$B$6,3,"")))</f>
        <v/>
      </c>
      <c r="G597" s="25"/>
      <c r="H597" s="26" t="str">
        <f>IF(G597='Tablas AR'!$B$10,1,IF('Análisis de Riesgos'!G597='Tablas AR'!$B$11,2,IF('Análisis de Riesgos'!G597='Tablas AR'!$B$12,3,"")))</f>
        <v/>
      </c>
      <c r="I597" s="26" t="str">
        <f t="shared" si="9"/>
        <v/>
      </c>
    </row>
    <row r="598" spans="2:9" x14ac:dyDescent="0.3">
      <c r="B598" s="27" t="str">
        <f>IFERROR(INDEX(Activos!$B$3:$C$16, MATCH(C598,Activos!$B$3:$B$16),2),"")</f>
        <v/>
      </c>
      <c r="C598" s="27"/>
      <c r="D598" s="27"/>
      <c r="E598" s="25"/>
      <c r="F598" s="26" t="str">
        <f>IF(E598='Tablas AR'!$B$4,1,IF('Análisis de Riesgos'!E598='Tablas AR'!$B$5,2,IF('Análisis de Riesgos'!E598='Tablas AR'!$B$6,3,"")))</f>
        <v/>
      </c>
      <c r="G598" s="25"/>
      <c r="H598" s="26" t="str">
        <f>IF(G598='Tablas AR'!$B$10,1,IF('Análisis de Riesgos'!G598='Tablas AR'!$B$11,2,IF('Análisis de Riesgos'!G598='Tablas AR'!$B$12,3,"")))</f>
        <v/>
      </c>
      <c r="I598" s="26" t="str">
        <f t="shared" si="9"/>
        <v/>
      </c>
    </row>
    <row r="599" spans="2:9" x14ac:dyDescent="0.3">
      <c r="B599" s="27" t="str">
        <f>IFERROR(INDEX(Activos!$B$3:$C$16, MATCH(C599,Activos!$B$3:$B$16),2),"")</f>
        <v/>
      </c>
      <c r="C599" s="27"/>
      <c r="D599" s="27"/>
      <c r="E599" s="25"/>
      <c r="F599" s="26" t="str">
        <f>IF(E599='Tablas AR'!$B$4,1,IF('Análisis de Riesgos'!E599='Tablas AR'!$B$5,2,IF('Análisis de Riesgos'!E599='Tablas AR'!$B$6,3,"")))</f>
        <v/>
      </c>
      <c r="G599" s="25"/>
      <c r="H599" s="26" t="str">
        <f>IF(G599='Tablas AR'!$B$10,1,IF('Análisis de Riesgos'!G599='Tablas AR'!$B$11,2,IF('Análisis de Riesgos'!G599='Tablas AR'!$B$12,3,"")))</f>
        <v/>
      </c>
      <c r="I599" s="26" t="str">
        <f t="shared" si="9"/>
        <v/>
      </c>
    </row>
    <row r="600" spans="2:9" x14ac:dyDescent="0.3">
      <c r="B600" s="27" t="str">
        <f>IFERROR(INDEX(Activos!$B$3:$C$16, MATCH(C600,Activos!$B$3:$B$16),2),"")</f>
        <v/>
      </c>
      <c r="C600" s="27"/>
      <c r="D600" s="27"/>
      <c r="E600" s="25"/>
      <c r="F600" s="26" t="str">
        <f>IF(E600='Tablas AR'!$B$4,1,IF('Análisis de Riesgos'!E600='Tablas AR'!$B$5,2,IF('Análisis de Riesgos'!E600='Tablas AR'!$B$6,3,"")))</f>
        <v/>
      </c>
      <c r="G600" s="25"/>
      <c r="H600" s="26" t="str">
        <f>IF(G600='Tablas AR'!$B$10,1,IF('Análisis de Riesgos'!G600='Tablas AR'!$B$11,2,IF('Análisis de Riesgos'!G600='Tablas AR'!$B$12,3,"")))</f>
        <v/>
      </c>
      <c r="I600" s="26" t="str">
        <f t="shared" si="9"/>
        <v/>
      </c>
    </row>
    <row r="601" spans="2:9" x14ac:dyDescent="0.3">
      <c r="B601" s="27" t="str">
        <f>IFERROR(INDEX(Activos!$B$3:$C$16, MATCH(C601,Activos!$B$3:$B$16),2),"")</f>
        <v/>
      </c>
      <c r="C601" s="27"/>
      <c r="D601" s="27"/>
      <c r="E601" s="25"/>
      <c r="F601" s="26" t="str">
        <f>IF(E601='Tablas AR'!$B$4,1,IF('Análisis de Riesgos'!E601='Tablas AR'!$B$5,2,IF('Análisis de Riesgos'!E601='Tablas AR'!$B$6,3,"")))</f>
        <v/>
      </c>
      <c r="G601" s="25"/>
      <c r="H601" s="26" t="str">
        <f>IF(G601='Tablas AR'!$B$10,1,IF('Análisis de Riesgos'!G601='Tablas AR'!$B$11,2,IF('Análisis de Riesgos'!G601='Tablas AR'!$B$12,3,"")))</f>
        <v/>
      </c>
      <c r="I601" s="26" t="str">
        <f t="shared" si="9"/>
        <v/>
      </c>
    </row>
    <row r="602" spans="2:9" x14ac:dyDescent="0.3">
      <c r="B602" s="27" t="str">
        <f>IFERROR(INDEX(Activos!$B$3:$C$16, MATCH(C602,Activos!$B$3:$B$16),2),"")</f>
        <v/>
      </c>
      <c r="C602" s="27"/>
      <c r="D602" s="27"/>
      <c r="E602" s="25"/>
      <c r="F602" s="26" t="str">
        <f>IF(E602='Tablas AR'!$B$4,1,IF('Análisis de Riesgos'!E602='Tablas AR'!$B$5,2,IF('Análisis de Riesgos'!E602='Tablas AR'!$B$6,3,"")))</f>
        <v/>
      </c>
      <c r="G602" s="25"/>
      <c r="H602" s="26" t="str">
        <f>IF(G602='Tablas AR'!$B$10,1,IF('Análisis de Riesgos'!G602='Tablas AR'!$B$11,2,IF('Análisis de Riesgos'!G602='Tablas AR'!$B$12,3,"")))</f>
        <v/>
      </c>
      <c r="I602" s="26" t="str">
        <f t="shared" si="9"/>
        <v/>
      </c>
    </row>
    <row r="603" spans="2:9" x14ac:dyDescent="0.3">
      <c r="B603" s="27" t="str">
        <f>IFERROR(INDEX(Activos!$B$3:$C$16, MATCH(C603,Activos!$B$3:$B$16),2),"")</f>
        <v/>
      </c>
      <c r="C603" s="27"/>
      <c r="D603" s="27"/>
      <c r="E603" s="25"/>
      <c r="F603" s="26" t="str">
        <f>IF(E603='Tablas AR'!$B$4,1,IF('Análisis de Riesgos'!E603='Tablas AR'!$B$5,2,IF('Análisis de Riesgos'!E603='Tablas AR'!$B$6,3,"")))</f>
        <v/>
      </c>
      <c r="G603" s="25"/>
      <c r="H603" s="26" t="str">
        <f>IF(G603='Tablas AR'!$B$10,1,IF('Análisis de Riesgos'!G603='Tablas AR'!$B$11,2,IF('Análisis de Riesgos'!G603='Tablas AR'!$B$12,3,"")))</f>
        <v/>
      </c>
      <c r="I603" s="26" t="str">
        <f t="shared" si="9"/>
        <v/>
      </c>
    </row>
    <row r="604" spans="2:9" x14ac:dyDescent="0.3">
      <c r="B604" s="27" t="str">
        <f>IFERROR(INDEX(Activos!$B$3:$C$16, MATCH(C604,Activos!$B$3:$B$16),2),"")</f>
        <v/>
      </c>
      <c r="C604" s="27"/>
      <c r="D604" s="27"/>
      <c r="E604" s="25"/>
      <c r="F604" s="26" t="str">
        <f>IF(E604='Tablas AR'!$B$4,1,IF('Análisis de Riesgos'!E604='Tablas AR'!$B$5,2,IF('Análisis de Riesgos'!E604='Tablas AR'!$B$6,3,"")))</f>
        <v/>
      </c>
      <c r="G604" s="25"/>
      <c r="H604" s="26" t="str">
        <f>IF(G604='Tablas AR'!$B$10,1,IF('Análisis de Riesgos'!G604='Tablas AR'!$B$11,2,IF('Análisis de Riesgos'!G604='Tablas AR'!$B$12,3,"")))</f>
        <v/>
      </c>
      <c r="I604" s="26" t="str">
        <f t="shared" si="9"/>
        <v/>
      </c>
    </row>
    <row r="605" spans="2:9" x14ac:dyDescent="0.3">
      <c r="B605" s="27" t="str">
        <f>IFERROR(INDEX(Activos!$B$3:$C$16, MATCH(C605,Activos!$B$3:$B$16),2),"")</f>
        <v/>
      </c>
      <c r="C605" s="27"/>
      <c r="D605" s="27"/>
      <c r="E605" s="25"/>
      <c r="F605" s="26" t="str">
        <f>IF(E605='Tablas AR'!$B$4,1,IF('Análisis de Riesgos'!E605='Tablas AR'!$B$5,2,IF('Análisis de Riesgos'!E605='Tablas AR'!$B$6,3,"")))</f>
        <v/>
      </c>
      <c r="G605" s="25"/>
      <c r="H605" s="26" t="str">
        <f>IF(G605='Tablas AR'!$B$10,1,IF('Análisis de Riesgos'!G605='Tablas AR'!$B$11,2,IF('Análisis de Riesgos'!G605='Tablas AR'!$B$12,3,"")))</f>
        <v/>
      </c>
      <c r="I605" s="26" t="str">
        <f t="shared" si="9"/>
        <v/>
      </c>
    </row>
    <row r="606" spans="2:9" x14ac:dyDescent="0.3">
      <c r="B606" s="27" t="str">
        <f>IFERROR(INDEX(Activos!$B$3:$C$16, MATCH(C606,Activos!$B$3:$B$16),2),"")</f>
        <v/>
      </c>
      <c r="C606" s="27"/>
      <c r="D606" s="27"/>
      <c r="E606" s="25"/>
      <c r="F606" s="26" t="str">
        <f>IF(E606='Tablas AR'!$B$4,1,IF('Análisis de Riesgos'!E606='Tablas AR'!$B$5,2,IF('Análisis de Riesgos'!E606='Tablas AR'!$B$6,3,"")))</f>
        <v/>
      </c>
      <c r="G606" s="25"/>
      <c r="H606" s="26" t="str">
        <f>IF(G606='Tablas AR'!$B$10,1,IF('Análisis de Riesgos'!G606='Tablas AR'!$B$11,2,IF('Análisis de Riesgos'!G606='Tablas AR'!$B$12,3,"")))</f>
        <v/>
      </c>
      <c r="I606" s="26" t="str">
        <f t="shared" si="9"/>
        <v/>
      </c>
    </row>
    <row r="607" spans="2:9" x14ac:dyDescent="0.3">
      <c r="B607" s="27" t="str">
        <f>IFERROR(INDEX(Activos!$B$3:$C$16, MATCH(C607,Activos!$B$3:$B$16),2),"")</f>
        <v/>
      </c>
      <c r="C607" s="27"/>
      <c r="D607" s="27"/>
      <c r="E607" s="25"/>
      <c r="F607" s="26" t="str">
        <f>IF(E607='Tablas AR'!$B$4,1,IF('Análisis de Riesgos'!E607='Tablas AR'!$B$5,2,IF('Análisis de Riesgos'!E607='Tablas AR'!$B$6,3,"")))</f>
        <v/>
      </c>
      <c r="G607" s="25"/>
      <c r="H607" s="26" t="str">
        <f>IF(G607='Tablas AR'!$B$10,1,IF('Análisis de Riesgos'!G607='Tablas AR'!$B$11,2,IF('Análisis de Riesgos'!G607='Tablas AR'!$B$12,3,"")))</f>
        <v/>
      </c>
      <c r="I607" s="26" t="str">
        <f t="shared" si="9"/>
        <v/>
      </c>
    </row>
    <row r="608" spans="2:9" x14ac:dyDescent="0.3">
      <c r="B608" s="27" t="str">
        <f>IFERROR(INDEX(Activos!$B$3:$C$16, MATCH(C608,Activos!$B$3:$B$16),2),"")</f>
        <v/>
      </c>
      <c r="C608" s="27"/>
      <c r="D608" s="27"/>
      <c r="E608" s="25"/>
      <c r="F608" s="26" t="str">
        <f>IF(E608='Tablas AR'!$B$4,1,IF('Análisis de Riesgos'!E608='Tablas AR'!$B$5,2,IF('Análisis de Riesgos'!E608='Tablas AR'!$B$6,3,"")))</f>
        <v/>
      </c>
      <c r="G608" s="25"/>
      <c r="H608" s="26" t="str">
        <f>IF(G608='Tablas AR'!$B$10,1,IF('Análisis de Riesgos'!G608='Tablas AR'!$B$11,2,IF('Análisis de Riesgos'!G608='Tablas AR'!$B$12,3,"")))</f>
        <v/>
      </c>
      <c r="I608" s="26" t="str">
        <f t="shared" si="9"/>
        <v/>
      </c>
    </row>
    <row r="609" spans="2:9" x14ac:dyDescent="0.3">
      <c r="B609" s="27" t="str">
        <f>IFERROR(INDEX(Activos!$B$3:$C$16, MATCH(C609,Activos!$B$3:$B$16),2),"")</f>
        <v/>
      </c>
      <c r="C609" s="27"/>
      <c r="D609" s="27"/>
      <c r="E609" s="25"/>
      <c r="F609" s="26" t="str">
        <f>IF(E609='Tablas AR'!$B$4,1,IF('Análisis de Riesgos'!E609='Tablas AR'!$B$5,2,IF('Análisis de Riesgos'!E609='Tablas AR'!$B$6,3,"")))</f>
        <v/>
      </c>
      <c r="G609" s="25"/>
      <c r="H609" s="26" t="str">
        <f>IF(G609='Tablas AR'!$B$10,1,IF('Análisis de Riesgos'!G609='Tablas AR'!$B$11,2,IF('Análisis de Riesgos'!G609='Tablas AR'!$B$12,3,"")))</f>
        <v/>
      </c>
      <c r="I609" s="26" t="str">
        <f t="shared" si="9"/>
        <v/>
      </c>
    </row>
    <row r="610" spans="2:9" x14ac:dyDescent="0.3">
      <c r="B610" s="27" t="str">
        <f>IFERROR(INDEX(Activos!$B$3:$C$16, MATCH(C610,Activos!$B$3:$B$16),2),"")</f>
        <v/>
      </c>
      <c r="C610" s="27"/>
      <c r="D610" s="27"/>
      <c r="E610" s="25"/>
      <c r="F610" s="26" t="str">
        <f>IF(E610='Tablas AR'!$B$4,1,IF('Análisis de Riesgos'!E610='Tablas AR'!$B$5,2,IF('Análisis de Riesgos'!E610='Tablas AR'!$B$6,3,"")))</f>
        <v/>
      </c>
      <c r="G610" s="25"/>
      <c r="H610" s="26" t="str">
        <f>IF(G610='Tablas AR'!$B$10,1,IF('Análisis de Riesgos'!G610='Tablas AR'!$B$11,2,IF('Análisis de Riesgos'!G610='Tablas AR'!$B$12,3,"")))</f>
        <v/>
      </c>
      <c r="I610" s="26" t="str">
        <f t="shared" si="9"/>
        <v/>
      </c>
    </row>
    <row r="611" spans="2:9" x14ac:dyDescent="0.3">
      <c r="B611" s="27" t="str">
        <f>IFERROR(INDEX(Activos!$B$3:$C$16, MATCH(C611,Activos!$B$3:$B$16),2),"")</f>
        <v/>
      </c>
      <c r="C611" s="27"/>
      <c r="D611" s="27"/>
      <c r="E611" s="25"/>
      <c r="F611" s="26" t="str">
        <f>IF(E611='Tablas AR'!$B$4,1,IF('Análisis de Riesgos'!E611='Tablas AR'!$B$5,2,IF('Análisis de Riesgos'!E611='Tablas AR'!$B$6,3,"")))</f>
        <v/>
      </c>
      <c r="G611" s="25"/>
      <c r="H611" s="26" t="str">
        <f>IF(G611='Tablas AR'!$B$10,1,IF('Análisis de Riesgos'!G611='Tablas AR'!$B$11,2,IF('Análisis de Riesgos'!G611='Tablas AR'!$B$12,3,"")))</f>
        <v/>
      </c>
      <c r="I611" s="26" t="str">
        <f t="shared" si="9"/>
        <v/>
      </c>
    </row>
    <row r="612" spans="2:9" x14ac:dyDescent="0.3">
      <c r="B612" s="27" t="str">
        <f>IFERROR(INDEX(Activos!$B$3:$C$16, MATCH(C612,Activos!$B$3:$B$16),2),"")</f>
        <v/>
      </c>
      <c r="C612" s="27"/>
      <c r="D612" s="27"/>
      <c r="E612" s="25"/>
      <c r="F612" s="26" t="str">
        <f>IF(E612='Tablas AR'!$B$4,1,IF('Análisis de Riesgos'!E612='Tablas AR'!$B$5,2,IF('Análisis de Riesgos'!E612='Tablas AR'!$B$6,3,"")))</f>
        <v/>
      </c>
      <c r="G612" s="25"/>
      <c r="H612" s="26" t="str">
        <f>IF(G612='Tablas AR'!$B$10,1,IF('Análisis de Riesgos'!G612='Tablas AR'!$B$11,2,IF('Análisis de Riesgos'!G612='Tablas AR'!$B$12,3,"")))</f>
        <v/>
      </c>
      <c r="I612" s="26" t="str">
        <f t="shared" si="9"/>
        <v/>
      </c>
    </row>
    <row r="613" spans="2:9" x14ac:dyDescent="0.3">
      <c r="B613" s="27" t="str">
        <f>IFERROR(INDEX(Activos!$B$3:$C$16, MATCH(C613,Activos!$B$3:$B$16),2),"")</f>
        <v/>
      </c>
      <c r="C613" s="27"/>
      <c r="D613" s="27"/>
      <c r="E613" s="25"/>
      <c r="F613" s="26" t="str">
        <f>IF(E613='Tablas AR'!$B$4,1,IF('Análisis de Riesgos'!E613='Tablas AR'!$B$5,2,IF('Análisis de Riesgos'!E613='Tablas AR'!$B$6,3,"")))</f>
        <v/>
      </c>
      <c r="G613" s="25"/>
      <c r="H613" s="26" t="str">
        <f>IF(G613='Tablas AR'!$B$10,1,IF('Análisis de Riesgos'!G613='Tablas AR'!$B$11,2,IF('Análisis de Riesgos'!G613='Tablas AR'!$B$12,3,"")))</f>
        <v/>
      </c>
      <c r="I613" s="26" t="str">
        <f t="shared" si="9"/>
        <v/>
      </c>
    </row>
    <row r="614" spans="2:9" x14ac:dyDescent="0.3">
      <c r="B614" s="27" t="str">
        <f>IFERROR(INDEX(Activos!$B$3:$C$16, MATCH(C614,Activos!$B$3:$B$16),2),"")</f>
        <v/>
      </c>
      <c r="C614" s="27"/>
      <c r="D614" s="27"/>
      <c r="E614" s="25"/>
      <c r="F614" s="26" t="str">
        <f>IF(E614='Tablas AR'!$B$4,1,IF('Análisis de Riesgos'!E614='Tablas AR'!$B$5,2,IF('Análisis de Riesgos'!E614='Tablas AR'!$B$6,3,"")))</f>
        <v/>
      </c>
      <c r="G614" s="25"/>
      <c r="H614" s="26" t="str">
        <f>IF(G614='Tablas AR'!$B$10,1,IF('Análisis de Riesgos'!G614='Tablas AR'!$B$11,2,IF('Análisis de Riesgos'!G614='Tablas AR'!$B$12,3,"")))</f>
        <v/>
      </c>
      <c r="I614" s="26" t="str">
        <f t="shared" si="9"/>
        <v/>
      </c>
    </row>
    <row r="615" spans="2:9" x14ac:dyDescent="0.3">
      <c r="B615" s="27" t="str">
        <f>IFERROR(INDEX(Activos!$B$3:$C$16, MATCH(C615,Activos!$B$3:$B$16),2),"")</f>
        <v/>
      </c>
      <c r="C615" s="27"/>
      <c r="D615" s="27"/>
      <c r="E615" s="25"/>
      <c r="F615" s="26" t="str">
        <f>IF(E615='Tablas AR'!$B$4,1,IF('Análisis de Riesgos'!E615='Tablas AR'!$B$5,2,IF('Análisis de Riesgos'!E615='Tablas AR'!$B$6,3,"")))</f>
        <v/>
      </c>
      <c r="G615" s="25"/>
      <c r="H615" s="26" t="str">
        <f>IF(G615='Tablas AR'!$B$10,1,IF('Análisis de Riesgos'!G615='Tablas AR'!$B$11,2,IF('Análisis de Riesgos'!G615='Tablas AR'!$B$12,3,"")))</f>
        <v/>
      </c>
      <c r="I615" s="26" t="str">
        <f t="shared" si="9"/>
        <v/>
      </c>
    </row>
    <row r="616" spans="2:9" x14ac:dyDescent="0.3">
      <c r="B616" s="27" t="str">
        <f>IFERROR(INDEX(Activos!$B$3:$C$16, MATCH(C616,Activos!$B$3:$B$16),2),"")</f>
        <v/>
      </c>
      <c r="C616" s="27"/>
      <c r="D616" s="27"/>
      <c r="E616" s="25"/>
      <c r="F616" s="26" t="str">
        <f>IF(E616='Tablas AR'!$B$4,1,IF('Análisis de Riesgos'!E616='Tablas AR'!$B$5,2,IF('Análisis de Riesgos'!E616='Tablas AR'!$B$6,3,"")))</f>
        <v/>
      </c>
      <c r="G616" s="25"/>
      <c r="H616" s="26" t="str">
        <f>IF(G616='Tablas AR'!$B$10,1,IF('Análisis de Riesgos'!G616='Tablas AR'!$B$11,2,IF('Análisis de Riesgos'!G616='Tablas AR'!$B$12,3,"")))</f>
        <v/>
      </c>
      <c r="I616" s="26" t="str">
        <f t="shared" si="9"/>
        <v/>
      </c>
    </row>
    <row r="617" spans="2:9" x14ac:dyDescent="0.3">
      <c r="B617" s="27" t="str">
        <f>IFERROR(INDEX(Activos!$B$3:$C$16, MATCH(C617,Activos!$B$3:$B$16),2),"")</f>
        <v/>
      </c>
      <c r="C617" s="27"/>
      <c r="D617" s="27"/>
      <c r="E617" s="25"/>
      <c r="F617" s="26" t="str">
        <f>IF(E617='Tablas AR'!$B$4,1,IF('Análisis de Riesgos'!E617='Tablas AR'!$B$5,2,IF('Análisis de Riesgos'!E617='Tablas AR'!$B$6,3,"")))</f>
        <v/>
      </c>
      <c r="G617" s="25"/>
      <c r="H617" s="26" t="str">
        <f>IF(G617='Tablas AR'!$B$10,1,IF('Análisis de Riesgos'!G617='Tablas AR'!$B$11,2,IF('Análisis de Riesgos'!G617='Tablas AR'!$B$12,3,"")))</f>
        <v/>
      </c>
      <c r="I617" s="26" t="str">
        <f t="shared" si="9"/>
        <v/>
      </c>
    </row>
    <row r="618" spans="2:9" x14ac:dyDescent="0.3">
      <c r="B618" s="27" t="str">
        <f>IFERROR(INDEX(Activos!$B$3:$C$16, MATCH(C618,Activos!$B$3:$B$16),2),"")</f>
        <v/>
      </c>
      <c r="C618" s="27"/>
      <c r="D618" s="27"/>
      <c r="E618" s="25"/>
      <c r="F618" s="26" t="str">
        <f>IF(E618='Tablas AR'!$B$4,1,IF('Análisis de Riesgos'!E618='Tablas AR'!$B$5,2,IF('Análisis de Riesgos'!E618='Tablas AR'!$B$6,3,"")))</f>
        <v/>
      </c>
      <c r="G618" s="25"/>
      <c r="H618" s="26" t="str">
        <f>IF(G618='Tablas AR'!$B$10,1,IF('Análisis de Riesgos'!G618='Tablas AR'!$B$11,2,IF('Análisis de Riesgos'!G618='Tablas AR'!$B$12,3,"")))</f>
        <v/>
      </c>
      <c r="I618" s="26" t="str">
        <f t="shared" si="9"/>
        <v/>
      </c>
    </row>
    <row r="619" spans="2:9" x14ac:dyDescent="0.3">
      <c r="B619" s="27" t="str">
        <f>IFERROR(INDEX(Activos!$B$3:$C$16, MATCH(C619,Activos!$B$3:$B$16),2),"")</f>
        <v/>
      </c>
      <c r="C619" s="27"/>
      <c r="D619" s="27"/>
      <c r="E619" s="25"/>
      <c r="F619" s="26" t="str">
        <f>IF(E619='Tablas AR'!$B$4,1,IF('Análisis de Riesgos'!E619='Tablas AR'!$B$5,2,IF('Análisis de Riesgos'!E619='Tablas AR'!$B$6,3,"")))</f>
        <v/>
      </c>
      <c r="G619" s="25"/>
      <c r="H619" s="26" t="str">
        <f>IF(G619='Tablas AR'!$B$10,1,IF('Análisis de Riesgos'!G619='Tablas AR'!$B$11,2,IF('Análisis de Riesgos'!G619='Tablas AR'!$B$12,3,"")))</f>
        <v/>
      </c>
      <c r="I619" s="26" t="str">
        <f t="shared" si="9"/>
        <v/>
      </c>
    </row>
    <row r="620" spans="2:9" x14ac:dyDescent="0.3">
      <c r="B620" s="27" t="str">
        <f>IFERROR(INDEX(Activos!$B$3:$C$16, MATCH(C620,Activos!$B$3:$B$16),2),"")</f>
        <v/>
      </c>
      <c r="C620" s="27"/>
      <c r="D620" s="27"/>
      <c r="E620" s="25"/>
      <c r="F620" s="26" t="str">
        <f>IF(E620='Tablas AR'!$B$4,1,IF('Análisis de Riesgos'!E620='Tablas AR'!$B$5,2,IF('Análisis de Riesgos'!E620='Tablas AR'!$B$6,3,"")))</f>
        <v/>
      </c>
      <c r="G620" s="25"/>
      <c r="H620" s="26" t="str">
        <f>IF(G620='Tablas AR'!$B$10,1,IF('Análisis de Riesgos'!G620='Tablas AR'!$B$11,2,IF('Análisis de Riesgos'!G620='Tablas AR'!$B$12,3,"")))</f>
        <v/>
      </c>
      <c r="I620" s="26" t="str">
        <f t="shared" si="9"/>
        <v/>
      </c>
    </row>
    <row r="621" spans="2:9" x14ac:dyDescent="0.3">
      <c r="B621" s="27" t="str">
        <f>IFERROR(INDEX(Activos!$B$3:$C$16, MATCH(C621,Activos!$B$3:$B$16),2),"")</f>
        <v/>
      </c>
      <c r="C621" s="27"/>
      <c r="D621" s="27"/>
      <c r="E621" s="25"/>
      <c r="F621" s="26" t="str">
        <f>IF(E621='Tablas AR'!$B$4,1,IF('Análisis de Riesgos'!E621='Tablas AR'!$B$5,2,IF('Análisis de Riesgos'!E621='Tablas AR'!$B$6,3,"")))</f>
        <v/>
      </c>
      <c r="G621" s="25"/>
      <c r="H621" s="26" t="str">
        <f>IF(G621='Tablas AR'!$B$10,1,IF('Análisis de Riesgos'!G621='Tablas AR'!$B$11,2,IF('Análisis de Riesgos'!G621='Tablas AR'!$B$12,3,"")))</f>
        <v/>
      </c>
      <c r="I621" s="26" t="str">
        <f t="shared" si="9"/>
        <v/>
      </c>
    </row>
    <row r="622" spans="2:9" x14ac:dyDescent="0.3">
      <c r="B622" s="27" t="str">
        <f>IFERROR(INDEX(Activos!$B$3:$C$16, MATCH(C622,Activos!$B$3:$B$16),2),"")</f>
        <v/>
      </c>
      <c r="C622" s="27"/>
      <c r="D622" s="27"/>
      <c r="E622" s="25"/>
      <c r="F622" s="26" t="str">
        <f>IF(E622='Tablas AR'!$B$4,1,IF('Análisis de Riesgos'!E622='Tablas AR'!$B$5,2,IF('Análisis de Riesgos'!E622='Tablas AR'!$B$6,3,"")))</f>
        <v/>
      </c>
      <c r="G622" s="25"/>
      <c r="H622" s="26" t="str">
        <f>IF(G622='Tablas AR'!$B$10,1,IF('Análisis de Riesgos'!G622='Tablas AR'!$B$11,2,IF('Análisis de Riesgos'!G622='Tablas AR'!$B$12,3,"")))</f>
        <v/>
      </c>
      <c r="I622" s="26" t="str">
        <f t="shared" si="9"/>
        <v/>
      </c>
    </row>
    <row r="623" spans="2:9" x14ac:dyDescent="0.3">
      <c r="B623" s="27" t="str">
        <f>IFERROR(INDEX(Activos!$B$3:$C$16, MATCH(C623,Activos!$B$3:$B$16),2),"")</f>
        <v/>
      </c>
      <c r="C623" s="27"/>
      <c r="D623" s="27"/>
      <c r="E623" s="25"/>
      <c r="F623" s="26" t="str">
        <f>IF(E623='Tablas AR'!$B$4,1,IF('Análisis de Riesgos'!E623='Tablas AR'!$B$5,2,IF('Análisis de Riesgos'!E623='Tablas AR'!$B$6,3,"")))</f>
        <v/>
      </c>
      <c r="G623" s="25"/>
      <c r="H623" s="26" t="str">
        <f>IF(G623='Tablas AR'!$B$10,1,IF('Análisis de Riesgos'!G623='Tablas AR'!$B$11,2,IF('Análisis de Riesgos'!G623='Tablas AR'!$B$12,3,"")))</f>
        <v/>
      </c>
      <c r="I623" s="26" t="str">
        <f t="shared" si="9"/>
        <v/>
      </c>
    </row>
    <row r="624" spans="2:9" x14ac:dyDescent="0.3">
      <c r="B624" s="27" t="str">
        <f>IFERROR(INDEX(Activos!$B$3:$C$16, MATCH(C624,Activos!$B$3:$B$16),2),"")</f>
        <v/>
      </c>
      <c r="C624" s="27"/>
      <c r="D624" s="27"/>
      <c r="E624" s="25"/>
      <c r="F624" s="26" t="str">
        <f>IF(E624='Tablas AR'!$B$4,1,IF('Análisis de Riesgos'!E624='Tablas AR'!$B$5,2,IF('Análisis de Riesgos'!E624='Tablas AR'!$B$6,3,"")))</f>
        <v/>
      </c>
      <c r="G624" s="25"/>
      <c r="H624" s="26" t="str">
        <f>IF(G624='Tablas AR'!$B$10,1,IF('Análisis de Riesgos'!G624='Tablas AR'!$B$11,2,IF('Análisis de Riesgos'!G624='Tablas AR'!$B$12,3,"")))</f>
        <v/>
      </c>
      <c r="I624" s="26" t="str">
        <f t="shared" si="9"/>
        <v/>
      </c>
    </row>
    <row r="625" spans="2:9" x14ac:dyDescent="0.3">
      <c r="B625" s="27" t="str">
        <f>IFERROR(INDEX(Activos!$B$3:$C$16, MATCH(C625,Activos!$B$3:$B$16),2),"")</f>
        <v/>
      </c>
      <c r="C625" s="27"/>
      <c r="D625" s="27"/>
      <c r="E625" s="25"/>
      <c r="F625" s="26" t="str">
        <f>IF(E625='Tablas AR'!$B$4,1,IF('Análisis de Riesgos'!E625='Tablas AR'!$B$5,2,IF('Análisis de Riesgos'!E625='Tablas AR'!$B$6,3,"")))</f>
        <v/>
      </c>
      <c r="G625" s="25"/>
      <c r="H625" s="26" t="str">
        <f>IF(G625='Tablas AR'!$B$10,1,IF('Análisis de Riesgos'!G625='Tablas AR'!$B$11,2,IF('Análisis de Riesgos'!G625='Tablas AR'!$B$12,3,"")))</f>
        <v/>
      </c>
      <c r="I625" s="26" t="str">
        <f t="shared" si="9"/>
        <v/>
      </c>
    </row>
    <row r="626" spans="2:9" x14ac:dyDescent="0.3">
      <c r="B626" s="27" t="str">
        <f>IFERROR(INDEX(Activos!$B$3:$C$16, MATCH(C626,Activos!$B$3:$B$16),2),"")</f>
        <v/>
      </c>
      <c r="C626" s="27"/>
      <c r="D626" s="27"/>
      <c r="E626" s="25"/>
      <c r="F626" s="26" t="str">
        <f>IF(E626='Tablas AR'!$B$4,1,IF('Análisis de Riesgos'!E626='Tablas AR'!$B$5,2,IF('Análisis de Riesgos'!E626='Tablas AR'!$B$6,3,"")))</f>
        <v/>
      </c>
      <c r="G626" s="25"/>
      <c r="H626" s="26" t="str">
        <f>IF(G626='Tablas AR'!$B$10,1,IF('Análisis de Riesgos'!G626='Tablas AR'!$B$11,2,IF('Análisis de Riesgos'!G626='Tablas AR'!$B$12,3,"")))</f>
        <v/>
      </c>
      <c r="I626" s="26" t="str">
        <f t="shared" si="9"/>
        <v/>
      </c>
    </row>
    <row r="627" spans="2:9" x14ac:dyDescent="0.3">
      <c r="B627" s="27" t="str">
        <f>IFERROR(INDEX(Activos!$B$3:$C$16, MATCH(C627,Activos!$B$3:$B$16),2),"")</f>
        <v/>
      </c>
      <c r="C627" s="27"/>
      <c r="D627" s="27"/>
      <c r="E627" s="25"/>
      <c r="F627" s="26" t="str">
        <f>IF(E627='Tablas AR'!$B$4,1,IF('Análisis de Riesgos'!E627='Tablas AR'!$B$5,2,IF('Análisis de Riesgos'!E627='Tablas AR'!$B$6,3,"")))</f>
        <v/>
      </c>
      <c r="G627" s="25"/>
      <c r="H627" s="26" t="str">
        <f>IF(G627='Tablas AR'!$B$10,1,IF('Análisis de Riesgos'!G627='Tablas AR'!$B$11,2,IF('Análisis de Riesgos'!G627='Tablas AR'!$B$12,3,"")))</f>
        <v/>
      </c>
      <c r="I627" s="26" t="str">
        <f t="shared" si="9"/>
        <v/>
      </c>
    </row>
    <row r="628" spans="2:9" x14ac:dyDescent="0.3">
      <c r="B628" s="27" t="str">
        <f>IFERROR(INDEX(Activos!$B$3:$C$16, MATCH(C628,Activos!$B$3:$B$16),2),"")</f>
        <v/>
      </c>
      <c r="C628" s="27"/>
      <c r="D628" s="27"/>
      <c r="E628" s="25"/>
      <c r="F628" s="26" t="str">
        <f>IF(E628='Tablas AR'!$B$4,1,IF('Análisis de Riesgos'!E628='Tablas AR'!$B$5,2,IF('Análisis de Riesgos'!E628='Tablas AR'!$B$6,3,"")))</f>
        <v/>
      </c>
      <c r="G628" s="25"/>
      <c r="H628" s="26" t="str">
        <f>IF(G628='Tablas AR'!$B$10,1,IF('Análisis de Riesgos'!G628='Tablas AR'!$B$11,2,IF('Análisis de Riesgos'!G628='Tablas AR'!$B$12,3,"")))</f>
        <v/>
      </c>
      <c r="I628" s="26" t="str">
        <f t="shared" si="9"/>
        <v/>
      </c>
    </row>
    <row r="629" spans="2:9" x14ac:dyDescent="0.3">
      <c r="B629" s="27" t="str">
        <f>IFERROR(INDEX(Activos!$B$3:$C$16, MATCH(C629,Activos!$B$3:$B$16),2),"")</f>
        <v/>
      </c>
      <c r="C629" s="27"/>
      <c r="D629" s="27"/>
      <c r="E629" s="25"/>
      <c r="F629" s="26" t="str">
        <f>IF(E629='Tablas AR'!$B$4,1,IF('Análisis de Riesgos'!E629='Tablas AR'!$B$5,2,IF('Análisis de Riesgos'!E629='Tablas AR'!$B$6,3,"")))</f>
        <v/>
      </c>
      <c r="G629" s="25"/>
      <c r="H629" s="26" t="str">
        <f>IF(G629='Tablas AR'!$B$10,1,IF('Análisis de Riesgos'!G629='Tablas AR'!$B$11,2,IF('Análisis de Riesgos'!G629='Tablas AR'!$B$12,3,"")))</f>
        <v/>
      </c>
      <c r="I629" s="26" t="str">
        <f t="shared" si="9"/>
        <v/>
      </c>
    </row>
    <row r="630" spans="2:9" x14ac:dyDescent="0.3">
      <c r="B630" s="27" t="str">
        <f>IFERROR(INDEX(Activos!$B$3:$C$16, MATCH(C630,Activos!$B$3:$B$16),2),"")</f>
        <v/>
      </c>
      <c r="C630" s="27"/>
      <c r="D630" s="27"/>
      <c r="E630" s="25"/>
      <c r="F630" s="26" t="str">
        <f>IF(E630='Tablas AR'!$B$4,1,IF('Análisis de Riesgos'!E630='Tablas AR'!$B$5,2,IF('Análisis de Riesgos'!E630='Tablas AR'!$B$6,3,"")))</f>
        <v/>
      </c>
      <c r="G630" s="25"/>
      <c r="H630" s="26" t="str">
        <f>IF(G630='Tablas AR'!$B$10,1,IF('Análisis de Riesgos'!G630='Tablas AR'!$B$11,2,IF('Análisis de Riesgos'!G630='Tablas AR'!$B$12,3,"")))</f>
        <v/>
      </c>
      <c r="I630" s="26" t="str">
        <f t="shared" si="9"/>
        <v/>
      </c>
    </row>
    <row r="631" spans="2:9" x14ac:dyDescent="0.3">
      <c r="B631" s="27" t="str">
        <f>IFERROR(INDEX(Activos!$B$3:$C$16, MATCH(C631,Activos!$B$3:$B$16),2),"")</f>
        <v/>
      </c>
      <c r="C631" s="27"/>
      <c r="D631" s="27"/>
      <c r="E631" s="25"/>
      <c r="F631" s="26" t="str">
        <f>IF(E631='Tablas AR'!$B$4,1,IF('Análisis de Riesgos'!E631='Tablas AR'!$B$5,2,IF('Análisis de Riesgos'!E631='Tablas AR'!$B$6,3,"")))</f>
        <v/>
      </c>
      <c r="G631" s="25"/>
      <c r="H631" s="26" t="str">
        <f>IF(G631='Tablas AR'!$B$10,1,IF('Análisis de Riesgos'!G631='Tablas AR'!$B$11,2,IF('Análisis de Riesgos'!G631='Tablas AR'!$B$12,3,"")))</f>
        <v/>
      </c>
      <c r="I631" s="26" t="str">
        <f t="shared" si="9"/>
        <v/>
      </c>
    </row>
    <row r="632" spans="2:9" x14ac:dyDescent="0.3">
      <c r="B632" s="27" t="str">
        <f>IFERROR(INDEX(Activos!$B$3:$C$16, MATCH(C632,Activos!$B$3:$B$16),2),"")</f>
        <v/>
      </c>
      <c r="C632" s="27"/>
      <c r="D632" s="27"/>
      <c r="E632" s="25"/>
      <c r="F632" s="26" t="str">
        <f>IF(E632='Tablas AR'!$B$4,1,IF('Análisis de Riesgos'!E632='Tablas AR'!$B$5,2,IF('Análisis de Riesgos'!E632='Tablas AR'!$B$6,3,"")))</f>
        <v/>
      </c>
      <c r="G632" s="25"/>
      <c r="H632" s="26" t="str">
        <f>IF(G632='Tablas AR'!$B$10,1,IF('Análisis de Riesgos'!G632='Tablas AR'!$B$11,2,IF('Análisis de Riesgos'!G632='Tablas AR'!$B$12,3,"")))</f>
        <v/>
      </c>
      <c r="I632" s="26" t="str">
        <f t="shared" si="9"/>
        <v/>
      </c>
    </row>
    <row r="633" spans="2:9" x14ac:dyDescent="0.3">
      <c r="B633" s="27" t="str">
        <f>IFERROR(INDEX(Activos!$B$3:$C$16, MATCH(C633,Activos!$B$3:$B$16),2),"")</f>
        <v/>
      </c>
      <c r="C633" s="27"/>
      <c r="D633" s="27"/>
      <c r="E633" s="25"/>
      <c r="F633" s="26" t="str">
        <f>IF(E633='Tablas AR'!$B$4,1,IF('Análisis de Riesgos'!E633='Tablas AR'!$B$5,2,IF('Análisis de Riesgos'!E633='Tablas AR'!$B$6,3,"")))</f>
        <v/>
      </c>
      <c r="G633" s="25"/>
      <c r="H633" s="26" t="str">
        <f>IF(G633='Tablas AR'!$B$10,1,IF('Análisis de Riesgos'!G633='Tablas AR'!$B$11,2,IF('Análisis de Riesgos'!G633='Tablas AR'!$B$12,3,"")))</f>
        <v/>
      </c>
      <c r="I633" s="26" t="str">
        <f t="shared" si="9"/>
        <v/>
      </c>
    </row>
    <row r="634" spans="2:9" x14ac:dyDescent="0.3">
      <c r="B634" s="27" t="str">
        <f>IFERROR(INDEX(Activos!$B$3:$C$16, MATCH(C634,Activos!$B$3:$B$16),2),"")</f>
        <v/>
      </c>
      <c r="C634" s="27"/>
      <c r="D634" s="27"/>
      <c r="E634" s="25"/>
      <c r="F634" s="26" t="str">
        <f>IF(E634='Tablas AR'!$B$4,1,IF('Análisis de Riesgos'!E634='Tablas AR'!$B$5,2,IF('Análisis de Riesgos'!E634='Tablas AR'!$B$6,3,"")))</f>
        <v/>
      </c>
      <c r="G634" s="25"/>
      <c r="H634" s="26" t="str">
        <f>IF(G634='Tablas AR'!$B$10,1,IF('Análisis de Riesgos'!G634='Tablas AR'!$B$11,2,IF('Análisis de Riesgos'!G634='Tablas AR'!$B$12,3,"")))</f>
        <v/>
      </c>
      <c r="I634" s="26" t="str">
        <f t="shared" si="9"/>
        <v/>
      </c>
    </row>
    <row r="635" spans="2:9" x14ac:dyDescent="0.3">
      <c r="B635" s="27" t="str">
        <f>IFERROR(INDEX(Activos!$B$3:$C$16, MATCH(C635,Activos!$B$3:$B$16),2),"")</f>
        <v/>
      </c>
      <c r="C635" s="27"/>
      <c r="D635" s="27"/>
      <c r="E635" s="25"/>
      <c r="F635" s="26" t="str">
        <f>IF(E635='Tablas AR'!$B$4,1,IF('Análisis de Riesgos'!E635='Tablas AR'!$B$5,2,IF('Análisis de Riesgos'!E635='Tablas AR'!$B$6,3,"")))</f>
        <v/>
      </c>
      <c r="G635" s="25"/>
      <c r="H635" s="26" t="str">
        <f>IF(G635='Tablas AR'!$B$10,1,IF('Análisis de Riesgos'!G635='Tablas AR'!$B$11,2,IF('Análisis de Riesgos'!G635='Tablas AR'!$B$12,3,"")))</f>
        <v/>
      </c>
      <c r="I635" s="26" t="str">
        <f t="shared" si="9"/>
        <v/>
      </c>
    </row>
    <row r="636" spans="2:9" x14ac:dyDescent="0.3">
      <c r="B636" s="27" t="str">
        <f>IFERROR(INDEX(Activos!$B$3:$C$16, MATCH(C636,Activos!$B$3:$B$16),2),"")</f>
        <v/>
      </c>
      <c r="C636" s="27"/>
      <c r="D636" s="27"/>
      <c r="E636" s="25"/>
      <c r="F636" s="26" t="str">
        <f>IF(E636='Tablas AR'!$B$4,1,IF('Análisis de Riesgos'!E636='Tablas AR'!$B$5,2,IF('Análisis de Riesgos'!E636='Tablas AR'!$B$6,3,"")))</f>
        <v/>
      </c>
      <c r="G636" s="25"/>
      <c r="H636" s="26" t="str">
        <f>IF(G636='Tablas AR'!$B$10,1,IF('Análisis de Riesgos'!G636='Tablas AR'!$B$11,2,IF('Análisis de Riesgos'!G636='Tablas AR'!$B$12,3,"")))</f>
        <v/>
      </c>
      <c r="I636" s="26" t="str">
        <f t="shared" si="9"/>
        <v/>
      </c>
    </row>
    <row r="637" spans="2:9" x14ac:dyDescent="0.3">
      <c r="B637" s="27" t="str">
        <f>IFERROR(INDEX(Activos!$B$3:$C$16, MATCH(C637,Activos!$B$3:$B$16),2),"")</f>
        <v/>
      </c>
      <c r="C637" s="27"/>
      <c r="D637" s="27"/>
      <c r="E637" s="25"/>
      <c r="F637" s="26" t="str">
        <f>IF(E637='Tablas AR'!$B$4,1,IF('Análisis de Riesgos'!E637='Tablas AR'!$B$5,2,IF('Análisis de Riesgos'!E637='Tablas AR'!$B$6,3,"")))</f>
        <v/>
      </c>
      <c r="G637" s="25"/>
      <c r="H637" s="26" t="str">
        <f>IF(G637='Tablas AR'!$B$10,1,IF('Análisis de Riesgos'!G637='Tablas AR'!$B$11,2,IF('Análisis de Riesgos'!G637='Tablas AR'!$B$12,3,"")))</f>
        <v/>
      </c>
      <c r="I637" s="26" t="str">
        <f t="shared" si="9"/>
        <v/>
      </c>
    </row>
    <row r="638" spans="2:9" x14ac:dyDescent="0.3">
      <c r="B638" s="27" t="str">
        <f>IFERROR(INDEX(Activos!$B$3:$C$16, MATCH(C638,Activos!$B$3:$B$16),2),"")</f>
        <v/>
      </c>
      <c r="C638" s="27"/>
      <c r="D638" s="27"/>
      <c r="E638" s="25"/>
      <c r="F638" s="26" t="str">
        <f>IF(E638='Tablas AR'!$B$4,1,IF('Análisis de Riesgos'!E638='Tablas AR'!$B$5,2,IF('Análisis de Riesgos'!E638='Tablas AR'!$B$6,3,"")))</f>
        <v/>
      </c>
      <c r="G638" s="25"/>
      <c r="H638" s="26" t="str">
        <f>IF(G638='Tablas AR'!$B$10,1,IF('Análisis de Riesgos'!G638='Tablas AR'!$B$11,2,IF('Análisis de Riesgos'!G638='Tablas AR'!$B$12,3,"")))</f>
        <v/>
      </c>
      <c r="I638" s="26" t="str">
        <f t="shared" si="9"/>
        <v/>
      </c>
    </row>
    <row r="639" spans="2:9" x14ac:dyDescent="0.3">
      <c r="B639" s="27" t="str">
        <f>IFERROR(INDEX(Activos!$B$3:$C$16, MATCH(C639,Activos!$B$3:$B$16),2),"")</f>
        <v/>
      </c>
      <c r="C639" s="27"/>
      <c r="D639" s="27"/>
      <c r="E639" s="25"/>
      <c r="F639" s="26" t="str">
        <f>IF(E639='Tablas AR'!$B$4,1,IF('Análisis de Riesgos'!E639='Tablas AR'!$B$5,2,IF('Análisis de Riesgos'!E639='Tablas AR'!$B$6,3,"")))</f>
        <v/>
      </c>
      <c r="G639" s="25"/>
      <c r="H639" s="26" t="str">
        <f>IF(G639='Tablas AR'!$B$10,1,IF('Análisis de Riesgos'!G639='Tablas AR'!$B$11,2,IF('Análisis de Riesgos'!G639='Tablas AR'!$B$12,3,"")))</f>
        <v/>
      </c>
      <c r="I639" s="26" t="str">
        <f t="shared" si="9"/>
        <v/>
      </c>
    </row>
    <row r="640" spans="2:9" x14ac:dyDescent="0.3">
      <c r="B640" s="27" t="str">
        <f>IFERROR(INDEX(Activos!$B$3:$C$16, MATCH(C640,Activos!$B$3:$B$16),2),"")</f>
        <v/>
      </c>
      <c r="C640" s="27"/>
      <c r="D640" s="27"/>
      <c r="E640" s="25"/>
      <c r="F640" s="26" t="str">
        <f>IF(E640='Tablas AR'!$B$4,1,IF('Análisis de Riesgos'!E640='Tablas AR'!$B$5,2,IF('Análisis de Riesgos'!E640='Tablas AR'!$B$6,3,"")))</f>
        <v/>
      </c>
      <c r="G640" s="25"/>
      <c r="H640" s="26" t="str">
        <f>IF(G640='Tablas AR'!$B$10,1,IF('Análisis de Riesgos'!G640='Tablas AR'!$B$11,2,IF('Análisis de Riesgos'!G640='Tablas AR'!$B$12,3,"")))</f>
        <v/>
      </c>
      <c r="I640" s="26" t="str">
        <f t="shared" si="9"/>
        <v/>
      </c>
    </row>
    <row r="641" spans="2:9" x14ac:dyDescent="0.3">
      <c r="B641" s="27" t="str">
        <f>IFERROR(INDEX(Activos!$B$3:$C$16, MATCH(C641,Activos!$B$3:$B$16),2),"")</f>
        <v/>
      </c>
      <c r="C641" s="27"/>
      <c r="D641" s="27"/>
      <c r="E641" s="25"/>
      <c r="F641" s="26" t="str">
        <f>IF(E641='Tablas AR'!$B$4,1,IF('Análisis de Riesgos'!E641='Tablas AR'!$B$5,2,IF('Análisis de Riesgos'!E641='Tablas AR'!$B$6,3,"")))</f>
        <v/>
      </c>
      <c r="G641" s="25"/>
      <c r="H641" s="26" t="str">
        <f>IF(G641='Tablas AR'!$B$10,1,IF('Análisis de Riesgos'!G641='Tablas AR'!$B$11,2,IF('Análisis de Riesgos'!G641='Tablas AR'!$B$12,3,"")))</f>
        <v/>
      </c>
      <c r="I641" s="26" t="str">
        <f t="shared" si="9"/>
        <v/>
      </c>
    </row>
    <row r="642" spans="2:9" x14ac:dyDescent="0.3">
      <c r="B642" s="27" t="str">
        <f>IFERROR(INDEX(Activos!$B$3:$C$16, MATCH(C642,Activos!$B$3:$B$16),2),"")</f>
        <v/>
      </c>
      <c r="C642" s="27"/>
      <c r="D642" s="27"/>
      <c r="E642" s="25"/>
      <c r="F642" s="26" t="str">
        <f>IF(E642='Tablas AR'!$B$4,1,IF('Análisis de Riesgos'!E642='Tablas AR'!$B$5,2,IF('Análisis de Riesgos'!E642='Tablas AR'!$B$6,3,"")))</f>
        <v/>
      </c>
      <c r="G642" s="25"/>
      <c r="H642" s="26" t="str">
        <f>IF(G642='Tablas AR'!$B$10,1,IF('Análisis de Riesgos'!G642='Tablas AR'!$B$11,2,IF('Análisis de Riesgos'!G642='Tablas AR'!$B$12,3,"")))</f>
        <v/>
      </c>
      <c r="I642" s="26" t="str">
        <f t="shared" si="9"/>
        <v/>
      </c>
    </row>
    <row r="643" spans="2:9" x14ac:dyDescent="0.3">
      <c r="B643" s="27" t="str">
        <f>IFERROR(INDEX(Activos!$B$3:$C$16, MATCH(C643,Activos!$B$3:$B$16),2),"")</f>
        <v/>
      </c>
      <c r="C643" s="27"/>
      <c r="D643" s="27"/>
      <c r="E643" s="25"/>
      <c r="F643" s="26" t="str">
        <f>IF(E643='Tablas AR'!$B$4,1,IF('Análisis de Riesgos'!E643='Tablas AR'!$B$5,2,IF('Análisis de Riesgos'!E643='Tablas AR'!$B$6,3,"")))</f>
        <v/>
      </c>
      <c r="G643" s="25"/>
      <c r="H643" s="26" t="str">
        <f>IF(G643='Tablas AR'!$B$10,1,IF('Análisis de Riesgos'!G643='Tablas AR'!$B$11,2,IF('Análisis de Riesgos'!G643='Tablas AR'!$B$12,3,"")))</f>
        <v/>
      </c>
      <c r="I643" s="26" t="str">
        <f t="shared" si="9"/>
        <v/>
      </c>
    </row>
    <row r="644" spans="2:9" x14ac:dyDescent="0.3">
      <c r="B644" s="27" t="str">
        <f>IFERROR(INDEX(Activos!$B$3:$C$16, MATCH(C644,Activos!$B$3:$B$16),2),"")</f>
        <v/>
      </c>
      <c r="C644" s="27"/>
      <c r="D644" s="27"/>
      <c r="E644" s="25"/>
      <c r="F644" s="26" t="str">
        <f>IF(E644='Tablas AR'!$B$4,1,IF('Análisis de Riesgos'!E644='Tablas AR'!$B$5,2,IF('Análisis de Riesgos'!E644='Tablas AR'!$B$6,3,"")))</f>
        <v/>
      </c>
      <c r="G644" s="25"/>
      <c r="H644" s="26" t="str">
        <f>IF(G644='Tablas AR'!$B$10,1,IF('Análisis de Riesgos'!G644='Tablas AR'!$B$11,2,IF('Análisis de Riesgos'!G644='Tablas AR'!$B$12,3,"")))</f>
        <v/>
      </c>
      <c r="I644" s="26" t="str">
        <f t="shared" ref="I644:I707" si="10" xml:space="preserve"> IFERROR(F644*H644,"")</f>
        <v/>
      </c>
    </row>
    <row r="645" spans="2:9" x14ac:dyDescent="0.3">
      <c r="B645" s="27" t="str">
        <f>IFERROR(INDEX(Activos!$B$3:$C$16, MATCH(C645,Activos!$B$3:$B$16),2),"")</f>
        <v/>
      </c>
      <c r="C645" s="27"/>
      <c r="D645" s="27"/>
      <c r="E645" s="25"/>
      <c r="F645" s="26" t="str">
        <f>IF(E645='Tablas AR'!$B$4,1,IF('Análisis de Riesgos'!E645='Tablas AR'!$B$5,2,IF('Análisis de Riesgos'!E645='Tablas AR'!$B$6,3,"")))</f>
        <v/>
      </c>
      <c r="G645" s="25"/>
      <c r="H645" s="26" t="str">
        <f>IF(G645='Tablas AR'!$B$10,1,IF('Análisis de Riesgos'!G645='Tablas AR'!$B$11,2,IF('Análisis de Riesgos'!G645='Tablas AR'!$B$12,3,"")))</f>
        <v/>
      </c>
      <c r="I645" s="26" t="str">
        <f t="shared" si="10"/>
        <v/>
      </c>
    </row>
    <row r="646" spans="2:9" x14ac:dyDescent="0.3">
      <c r="B646" s="27" t="str">
        <f>IFERROR(INDEX(Activos!$B$3:$C$16, MATCH(C646,Activos!$B$3:$B$16),2),"")</f>
        <v/>
      </c>
      <c r="C646" s="27"/>
      <c r="D646" s="27"/>
      <c r="E646" s="25"/>
      <c r="F646" s="26" t="str">
        <f>IF(E646='Tablas AR'!$B$4,1,IF('Análisis de Riesgos'!E646='Tablas AR'!$B$5,2,IF('Análisis de Riesgos'!E646='Tablas AR'!$B$6,3,"")))</f>
        <v/>
      </c>
      <c r="G646" s="25"/>
      <c r="H646" s="26" t="str">
        <f>IF(G646='Tablas AR'!$B$10,1,IF('Análisis de Riesgos'!G646='Tablas AR'!$B$11,2,IF('Análisis de Riesgos'!G646='Tablas AR'!$B$12,3,"")))</f>
        <v/>
      </c>
      <c r="I646" s="26" t="str">
        <f t="shared" si="10"/>
        <v/>
      </c>
    </row>
    <row r="647" spans="2:9" x14ac:dyDescent="0.3">
      <c r="B647" s="27" t="str">
        <f>IFERROR(INDEX(Activos!$B$3:$C$16, MATCH(C647,Activos!$B$3:$B$16),2),"")</f>
        <v/>
      </c>
      <c r="C647" s="27"/>
      <c r="D647" s="27"/>
      <c r="E647" s="25"/>
      <c r="F647" s="26" t="str">
        <f>IF(E647='Tablas AR'!$B$4,1,IF('Análisis de Riesgos'!E647='Tablas AR'!$B$5,2,IF('Análisis de Riesgos'!E647='Tablas AR'!$B$6,3,"")))</f>
        <v/>
      </c>
      <c r="G647" s="25"/>
      <c r="H647" s="26" t="str">
        <f>IF(G647='Tablas AR'!$B$10,1,IF('Análisis de Riesgos'!G647='Tablas AR'!$B$11,2,IF('Análisis de Riesgos'!G647='Tablas AR'!$B$12,3,"")))</f>
        <v/>
      </c>
      <c r="I647" s="26" t="str">
        <f t="shared" si="10"/>
        <v/>
      </c>
    </row>
    <row r="648" spans="2:9" x14ac:dyDescent="0.3">
      <c r="B648" s="27" t="str">
        <f>IFERROR(INDEX(Activos!$B$3:$C$16, MATCH(C648,Activos!$B$3:$B$16),2),"")</f>
        <v/>
      </c>
      <c r="C648" s="27"/>
      <c r="D648" s="27"/>
      <c r="E648" s="25"/>
      <c r="F648" s="26" t="str">
        <f>IF(E648='Tablas AR'!$B$4,1,IF('Análisis de Riesgos'!E648='Tablas AR'!$B$5,2,IF('Análisis de Riesgos'!E648='Tablas AR'!$B$6,3,"")))</f>
        <v/>
      </c>
      <c r="G648" s="25"/>
      <c r="H648" s="26" t="str">
        <f>IF(G648='Tablas AR'!$B$10,1,IF('Análisis de Riesgos'!G648='Tablas AR'!$B$11,2,IF('Análisis de Riesgos'!G648='Tablas AR'!$B$12,3,"")))</f>
        <v/>
      </c>
      <c r="I648" s="26" t="str">
        <f t="shared" si="10"/>
        <v/>
      </c>
    </row>
    <row r="649" spans="2:9" x14ac:dyDescent="0.3">
      <c r="B649" s="27" t="str">
        <f>IFERROR(INDEX(Activos!$B$3:$C$16, MATCH(C649,Activos!$B$3:$B$16),2),"")</f>
        <v/>
      </c>
      <c r="C649" s="27"/>
      <c r="D649" s="27"/>
      <c r="E649" s="25"/>
      <c r="F649" s="26" t="str">
        <f>IF(E649='Tablas AR'!$B$4,1,IF('Análisis de Riesgos'!E649='Tablas AR'!$B$5,2,IF('Análisis de Riesgos'!E649='Tablas AR'!$B$6,3,"")))</f>
        <v/>
      </c>
      <c r="G649" s="25"/>
      <c r="H649" s="26" t="str">
        <f>IF(G649='Tablas AR'!$B$10,1,IF('Análisis de Riesgos'!G649='Tablas AR'!$B$11,2,IF('Análisis de Riesgos'!G649='Tablas AR'!$B$12,3,"")))</f>
        <v/>
      </c>
      <c r="I649" s="26" t="str">
        <f t="shared" si="10"/>
        <v/>
      </c>
    </row>
    <row r="650" spans="2:9" x14ac:dyDescent="0.3">
      <c r="B650" s="27" t="str">
        <f>IFERROR(INDEX(Activos!$B$3:$C$16, MATCH(C650,Activos!$B$3:$B$16),2),"")</f>
        <v/>
      </c>
      <c r="C650" s="27"/>
      <c r="D650" s="27"/>
      <c r="E650" s="25"/>
      <c r="F650" s="26" t="str">
        <f>IF(E650='Tablas AR'!$B$4,1,IF('Análisis de Riesgos'!E650='Tablas AR'!$B$5,2,IF('Análisis de Riesgos'!E650='Tablas AR'!$B$6,3,"")))</f>
        <v/>
      </c>
      <c r="G650" s="25"/>
      <c r="H650" s="26" t="str">
        <f>IF(G650='Tablas AR'!$B$10,1,IF('Análisis de Riesgos'!G650='Tablas AR'!$B$11,2,IF('Análisis de Riesgos'!G650='Tablas AR'!$B$12,3,"")))</f>
        <v/>
      </c>
      <c r="I650" s="26" t="str">
        <f t="shared" si="10"/>
        <v/>
      </c>
    </row>
    <row r="651" spans="2:9" x14ac:dyDescent="0.3">
      <c r="B651" s="27" t="str">
        <f>IFERROR(INDEX(Activos!$B$3:$C$16, MATCH(C651,Activos!$B$3:$B$16),2),"")</f>
        <v/>
      </c>
      <c r="C651" s="27"/>
      <c r="D651" s="27"/>
      <c r="E651" s="25"/>
      <c r="F651" s="26" t="str">
        <f>IF(E651='Tablas AR'!$B$4,1,IF('Análisis de Riesgos'!E651='Tablas AR'!$B$5,2,IF('Análisis de Riesgos'!E651='Tablas AR'!$B$6,3,"")))</f>
        <v/>
      </c>
      <c r="G651" s="25"/>
      <c r="H651" s="26" t="str">
        <f>IF(G651='Tablas AR'!$B$10,1,IF('Análisis de Riesgos'!G651='Tablas AR'!$B$11,2,IF('Análisis de Riesgos'!G651='Tablas AR'!$B$12,3,"")))</f>
        <v/>
      </c>
      <c r="I651" s="26" t="str">
        <f t="shared" si="10"/>
        <v/>
      </c>
    </row>
    <row r="652" spans="2:9" x14ac:dyDescent="0.3">
      <c r="B652" s="27" t="str">
        <f>IFERROR(INDEX(Activos!$B$3:$C$16, MATCH(C652,Activos!$B$3:$B$16),2),"")</f>
        <v/>
      </c>
      <c r="C652" s="27"/>
      <c r="D652" s="27"/>
      <c r="E652" s="25"/>
      <c r="F652" s="26" t="str">
        <f>IF(E652='Tablas AR'!$B$4,1,IF('Análisis de Riesgos'!E652='Tablas AR'!$B$5,2,IF('Análisis de Riesgos'!E652='Tablas AR'!$B$6,3,"")))</f>
        <v/>
      </c>
      <c r="G652" s="25"/>
      <c r="H652" s="26" t="str">
        <f>IF(G652='Tablas AR'!$B$10,1,IF('Análisis de Riesgos'!G652='Tablas AR'!$B$11,2,IF('Análisis de Riesgos'!G652='Tablas AR'!$B$12,3,"")))</f>
        <v/>
      </c>
      <c r="I652" s="26" t="str">
        <f t="shared" si="10"/>
        <v/>
      </c>
    </row>
    <row r="653" spans="2:9" x14ac:dyDescent="0.3">
      <c r="B653" s="27" t="str">
        <f>IFERROR(INDEX(Activos!$B$3:$C$16, MATCH(C653,Activos!$B$3:$B$16),2),"")</f>
        <v/>
      </c>
      <c r="C653" s="27"/>
      <c r="D653" s="27"/>
      <c r="E653" s="25"/>
      <c r="F653" s="26" t="str">
        <f>IF(E653='Tablas AR'!$B$4,1,IF('Análisis de Riesgos'!E653='Tablas AR'!$B$5,2,IF('Análisis de Riesgos'!E653='Tablas AR'!$B$6,3,"")))</f>
        <v/>
      </c>
      <c r="G653" s="25"/>
      <c r="H653" s="26" t="str">
        <f>IF(G653='Tablas AR'!$B$10,1,IF('Análisis de Riesgos'!G653='Tablas AR'!$B$11,2,IF('Análisis de Riesgos'!G653='Tablas AR'!$B$12,3,"")))</f>
        <v/>
      </c>
      <c r="I653" s="26" t="str">
        <f t="shared" si="10"/>
        <v/>
      </c>
    </row>
    <row r="654" spans="2:9" x14ac:dyDescent="0.3">
      <c r="B654" s="27" t="str">
        <f>IFERROR(INDEX(Activos!$B$3:$C$16, MATCH(C654,Activos!$B$3:$B$16),2),"")</f>
        <v/>
      </c>
      <c r="C654" s="27"/>
      <c r="D654" s="27"/>
      <c r="E654" s="25"/>
      <c r="F654" s="26" t="str">
        <f>IF(E654='Tablas AR'!$B$4,1,IF('Análisis de Riesgos'!E654='Tablas AR'!$B$5,2,IF('Análisis de Riesgos'!E654='Tablas AR'!$B$6,3,"")))</f>
        <v/>
      </c>
      <c r="G654" s="25"/>
      <c r="H654" s="26" t="str">
        <f>IF(G654='Tablas AR'!$B$10,1,IF('Análisis de Riesgos'!G654='Tablas AR'!$B$11,2,IF('Análisis de Riesgos'!G654='Tablas AR'!$B$12,3,"")))</f>
        <v/>
      </c>
      <c r="I654" s="26" t="str">
        <f t="shared" si="10"/>
        <v/>
      </c>
    </row>
    <row r="655" spans="2:9" x14ac:dyDescent="0.3">
      <c r="B655" s="27" t="str">
        <f>IFERROR(INDEX(Activos!$B$3:$C$16, MATCH(C655,Activos!$B$3:$B$16),2),"")</f>
        <v/>
      </c>
      <c r="C655" s="27"/>
      <c r="D655" s="27"/>
      <c r="E655" s="25"/>
      <c r="F655" s="26" t="str">
        <f>IF(E655='Tablas AR'!$B$4,1,IF('Análisis de Riesgos'!E655='Tablas AR'!$B$5,2,IF('Análisis de Riesgos'!E655='Tablas AR'!$B$6,3,"")))</f>
        <v/>
      </c>
      <c r="G655" s="25"/>
      <c r="H655" s="26" t="str">
        <f>IF(G655='Tablas AR'!$B$10,1,IF('Análisis de Riesgos'!G655='Tablas AR'!$B$11,2,IF('Análisis de Riesgos'!G655='Tablas AR'!$B$12,3,"")))</f>
        <v/>
      </c>
      <c r="I655" s="26" t="str">
        <f t="shared" si="10"/>
        <v/>
      </c>
    </row>
    <row r="656" spans="2:9" x14ac:dyDescent="0.3">
      <c r="B656" s="27" t="str">
        <f>IFERROR(INDEX(Activos!$B$3:$C$16, MATCH(C656,Activos!$B$3:$B$16),2),"")</f>
        <v/>
      </c>
      <c r="C656" s="27"/>
      <c r="D656" s="27"/>
      <c r="E656" s="25"/>
      <c r="F656" s="26" t="str">
        <f>IF(E656='Tablas AR'!$B$4,1,IF('Análisis de Riesgos'!E656='Tablas AR'!$B$5,2,IF('Análisis de Riesgos'!E656='Tablas AR'!$B$6,3,"")))</f>
        <v/>
      </c>
      <c r="G656" s="25"/>
      <c r="H656" s="26" t="str">
        <f>IF(G656='Tablas AR'!$B$10,1,IF('Análisis de Riesgos'!G656='Tablas AR'!$B$11,2,IF('Análisis de Riesgos'!G656='Tablas AR'!$B$12,3,"")))</f>
        <v/>
      </c>
      <c r="I656" s="26" t="str">
        <f t="shared" si="10"/>
        <v/>
      </c>
    </row>
    <row r="657" spans="2:9" x14ac:dyDescent="0.3">
      <c r="B657" s="27" t="str">
        <f>IFERROR(INDEX(Activos!$B$3:$C$16, MATCH(C657,Activos!$B$3:$B$16),2),"")</f>
        <v/>
      </c>
      <c r="C657" s="27"/>
      <c r="D657" s="27"/>
      <c r="E657" s="25"/>
      <c r="F657" s="26" t="str">
        <f>IF(E657='Tablas AR'!$B$4,1,IF('Análisis de Riesgos'!E657='Tablas AR'!$B$5,2,IF('Análisis de Riesgos'!E657='Tablas AR'!$B$6,3,"")))</f>
        <v/>
      </c>
      <c r="G657" s="25"/>
      <c r="H657" s="26" t="str">
        <f>IF(G657='Tablas AR'!$B$10,1,IF('Análisis de Riesgos'!G657='Tablas AR'!$B$11,2,IF('Análisis de Riesgos'!G657='Tablas AR'!$B$12,3,"")))</f>
        <v/>
      </c>
      <c r="I657" s="26" t="str">
        <f t="shared" si="10"/>
        <v/>
      </c>
    </row>
    <row r="658" spans="2:9" x14ac:dyDescent="0.3">
      <c r="B658" s="27" t="str">
        <f>IFERROR(INDEX(Activos!$B$3:$C$16, MATCH(C658,Activos!$B$3:$B$16),2),"")</f>
        <v/>
      </c>
      <c r="C658" s="27"/>
      <c r="D658" s="27"/>
      <c r="E658" s="25"/>
      <c r="F658" s="26" t="str">
        <f>IF(E658='Tablas AR'!$B$4,1,IF('Análisis de Riesgos'!E658='Tablas AR'!$B$5,2,IF('Análisis de Riesgos'!E658='Tablas AR'!$B$6,3,"")))</f>
        <v/>
      </c>
      <c r="G658" s="25"/>
      <c r="H658" s="26" t="str">
        <f>IF(G658='Tablas AR'!$B$10,1,IF('Análisis de Riesgos'!G658='Tablas AR'!$B$11,2,IF('Análisis de Riesgos'!G658='Tablas AR'!$B$12,3,"")))</f>
        <v/>
      </c>
      <c r="I658" s="26" t="str">
        <f t="shared" si="10"/>
        <v/>
      </c>
    </row>
    <row r="659" spans="2:9" x14ac:dyDescent="0.3">
      <c r="B659" s="27" t="str">
        <f>IFERROR(INDEX(Activos!$B$3:$C$16, MATCH(C659,Activos!$B$3:$B$16),2),"")</f>
        <v/>
      </c>
      <c r="C659" s="27"/>
      <c r="D659" s="27"/>
      <c r="E659" s="25"/>
      <c r="F659" s="26" t="str">
        <f>IF(E659='Tablas AR'!$B$4,1,IF('Análisis de Riesgos'!E659='Tablas AR'!$B$5,2,IF('Análisis de Riesgos'!E659='Tablas AR'!$B$6,3,"")))</f>
        <v/>
      </c>
      <c r="G659" s="25"/>
      <c r="H659" s="26" t="str">
        <f>IF(G659='Tablas AR'!$B$10,1,IF('Análisis de Riesgos'!G659='Tablas AR'!$B$11,2,IF('Análisis de Riesgos'!G659='Tablas AR'!$B$12,3,"")))</f>
        <v/>
      </c>
      <c r="I659" s="26" t="str">
        <f t="shared" si="10"/>
        <v/>
      </c>
    </row>
    <row r="660" spans="2:9" x14ac:dyDescent="0.3">
      <c r="B660" s="27" t="str">
        <f>IFERROR(INDEX(Activos!$B$3:$C$16, MATCH(C660,Activos!$B$3:$B$16),2),"")</f>
        <v/>
      </c>
      <c r="C660" s="27"/>
      <c r="D660" s="27"/>
      <c r="E660" s="25"/>
      <c r="F660" s="26" t="str">
        <f>IF(E660='Tablas AR'!$B$4,1,IF('Análisis de Riesgos'!E660='Tablas AR'!$B$5,2,IF('Análisis de Riesgos'!E660='Tablas AR'!$B$6,3,"")))</f>
        <v/>
      </c>
      <c r="G660" s="25"/>
      <c r="H660" s="26" t="str">
        <f>IF(G660='Tablas AR'!$B$10,1,IF('Análisis de Riesgos'!G660='Tablas AR'!$B$11,2,IF('Análisis de Riesgos'!G660='Tablas AR'!$B$12,3,"")))</f>
        <v/>
      </c>
      <c r="I660" s="26" t="str">
        <f t="shared" si="10"/>
        <v/>
      </c>
    </row>
    <row r="661" spans="2:9" x14ac:dyDescent="0.3">
      <c r="B661" s="27" t="str">
        <f>IFERROR(INDEX(Activos!$B$3:$C$16, MATCH(C661,Activos!$B$3:$B$16),2),"")</f>
        <v/>
      </c>
      <c r="C661" s="27"/>
      <c r="D661" s="27"/>
      <c r="E661" s="25"/>
      <c r="F661" s="26" t="str">
        <f>IF(E661='Tablas AR'!$B$4,1,IF('Análisis de Riesgos'!E661='Tablas AR'!$B$5,2,IF('Análisis de Riesgos'!E661='Tablas AR'!$B$6,3,"")))</f>
        <v/>
      </c>
      <c r="G661" s="25"/>
      <c r="H661" s="26" t="str">
        <f>IF(G661='Tablas AR'!$B$10,1,IF('Análisis de Riesgos'!G661='Tablas AR'!$B$11,2,IF('Análisis de Riesgos'!G661='Tablas AR'!$B$12,3,"")))</f>
        <v/>
      </c>
      <c r="I661" s="26" t="str">
        <f t="shared" si="10"/>
        <v/>
      </c>
    </row>
    <row r="662" spans="2:9" x14ac:dyDescent="0.3">
      <c r="B662" s="27" t="str">
        <f>IFERROR(INDEX(Activos!$B$3:$C$16, MATCH(C662,Activos!$B$3:$B$16),2),"")</f>
        <v/>
      </c>
      <c r="C662" s="27"/>
      <c r="D662" s="27"/>
      <c r="E662" s="25"/>
      <c r="F662" s="26" t="str">
        <f>IF(E662='Tablas AR'!$B$4,1,IF('Análisis de Riesgos'!E662='Tablas AR'!$B$5,2,IF('Análisis de Riesgos'!E662='Tablas AR'!$B$6,3,"")))</f>
        <v/>
      </c>
      <c r="G662" s="25"/>
      <c r="H662" s="26" t="str">
        <f>IF(G662='Tablas AR'!$B$10,1,IF('Análisis de Riesgos'!G662='Tablas AR'!$B$11,2,IF('Análisis de Riesgos'!G662='Tablas AR'!$B$12,3,"")))</f>
        <v/>
      </c>
      <c r="I662" s="26" t="str">
        <f t="shared" si="10"/>
        <v/>
      </c>
    </row>
    <row r="663" spans="2:9" x14ac:dyDescent="0.3">
      <c r="B663" s="27" t="str">
        <f>IFERROR(INDEX(Activos!$B$3:$C$16, MATCH(C663,Activos!$B$3:$B$16),2),"")</f>
        <v/>
      </c>
      <c r="C663" s="27"/>
      <c r="D663" s="27"/>
      <c r="E663" s="25"/>
      <c r="F663" s="26" t="str">
        <f>IF(E663='Tablas AR'!$B$4,1,IF('Análisis de Riesgos'!E663='Tablas AR'!$B$5,2,IF('Análisis de Riesgos'!E663='Tablas AR'!$B$6,3,"")))</f>
        <v/>
      </c>
      <c r="G663" s="25"/>
      <c r="H663" s="26" t="str">
        <f>IF(G663='Tablas AR'!$B$10,1,IF('Análisis de Riesgos'!G663='Tablas AR'!$B$11,2,IF('Análisis de Riesgos'!G663='Tablas AR'!$B$12,3,"")))</f>
        <v/>
      </c>
      <c r="I663" s="26" t="str">
        <f t="shared" si="10"/>
        <v/>
      </c>
    </row>
    <row r="664" spans="2:9" x14ac:dyDescent="0.3">
      <c r="B664" s="27" t="str">
        <f>IFERROR(INDEX(Activos!$B$3:$C$16, MATCH(C664,Activos!$B$3:$B$16),2),"")</f>
        <v/>
      </c>
      <c r="C664" s="27"/>
      <c r="D664" s="27"/>
      <c r="E664" s="25"/>
      <c r="F664" s="26" t="str">
        <f>IF(E664='Tablas AR'!$B$4,1,IF('Análisis de Riesgos'!E664='Tablas AR'!$B$5,2,IF('Análisis de Riesgos'!E664='Tablas AR'!$B$6,3,"")))</f>
        <v/>
      </c>
      <c r="G664" s="25"/>
      <c r="H664" s="26" t="str">
        <f>IF(G664='Tablas AR'!$B$10,1,IF('Análisis de Riesgos'!G664='Tablas AR'!$B$11,2,IF('Análisis de Riesgos'!G664='Tablas AR'!$B$12,3,"")))</f>
        <v/>
      </c>
      <c r="I664" s="26" t="str">
        <f t="shared" si="10"/>
        <v/>
      </c>
    </row>
    <row r="665" spans="2:9" x14ac:dyDescent="0.3">
      <c r="B665" s="27" t="str">
        <f>IFERROR(INDEX(Activos!$B$3:$C$16, MATCH(C665,Activos!$B$3:$B$16),2),"")</f>
        <v/>
      </c>
      <c r="C665" s="27"/>
      <c r="D665" s="27"/>
      <c r="E665" s="25"/>
      <c r="F665" s="26" t="str">
        <f>IF(E665='Tablas AR'!$B$4,1,IF('Análisis de Riesgos'!E665='Tablas AR'!$B$5,2,IF('Análisis de Riesgos'!E665='Tablas AR'!$B$6,3,"")))</f>
        <v/>
      </c>
      <c r="G665" s="25"/>
      <c r="H665" s="26" t="str">
        <f>IF(G665='Tablas AR'!$B$10,1,IF('Análisis de Riesgos'!G665='Tablas AR'!$B$11,2,IF('Análisis de Riesgos'!G665='Tablas AR'!$B$12,3,"")))</f>
        <v/>
      </c>
      <c r="I665" s="26" t="str">
        <f t="shared" si="10"/>
        <v/>
      </c>
    </row>
    <row r="666" spans="2:9" x14ac:dyDescent="0.3">
      <c r="B666" s="27" t="str">
        <f>IFERROR(INDEX(Activos!$B$3:$C$16, MATCH(C666,Activos!$B$3:$B$16),2),"")</f>
        <v/>
      </c>
      <c r="C666" s="27"/>
      <c r="D666" s="27"/>
      <c r="E666" s="25"/>
      <c r="F666" s="26" t="str">
        <f>IF(E666='Tablas AR'!$B$4,1,IF('Análisis de Riesgos'!E666='Tablas AR'!$B$5,2,IF('Análisis de Riesgos'!E666='Tablas AR'!$B$6,3,"")))</f>
        <v/>
      </c>
      <c r="G666" s="25"/>
      <c r="H666" s="26" t="str">
        <f>IF(G666='Tablas AR'!$B$10,1,IF('Análisis de Riesgos'!G666='Tablas AR'!$B$11,2,IF('Análisis de Riesgos'!G666='Tablas AR'!$B$12,3,"")))</f>
        <v/>
      </c>
      <c r="I666" s="26" t="str">
        <f t="shared" si="10"/>
        <v/>
      </c>
    </row>
    <row r="667" spans="2:9" x14ac:dyDescent="0.3">
      <c r="B667" s="27" t="str">
        <f>IFERROR(INDEX(Activos!$B$3:$C$16, MATCH(C667,Activos!$B$3:$B$16),2),"")</f>
        <v/>
      </c>
      <c r="C667" s="27"/>
      <c r="D667" s="27"/>
      <c r="E667" s="25"/>
      <c r="F667" s="26" t="str">
        <f>IF(E667='Tablas AR'!$B$4,1,IF('Análisis de Riesgos'!E667='Tablas AR'!$B$5,2,IF('Análisis de Riesgos'!E667='Tablas AR'!$B$6,3,"")))</f>
        <v/>
      </c>
      <c r="G667" s="25"/>
      <c r="H667" s="26" t="str">
        <f>IF(G667='Tablas AR'!$B$10,1,IF('Análisis de Riesgos'!G667='Tablas AR'!$B$11,2,IF('Análisis de Riesgos'!G667='Tablas AR'!$B$12,3,"")))</f>
        <v/>
      </c>
      <c r="I667" s="26" t="str">
        <f t="shared" si="10"/>
        <v/>
      </c>
    </row>
    <row r="668" spans="2:9" x14ac:dyDescent="0.3">
      <c r="B668" s="27" t="str">
        <f>IFERROR(INDEX(Activos!$B$3:$C$16, MATCH(C668,Activos!$B$3:$B$16),2),"")</f>
        <v/>
      </c>
      <c r="C668" s="27"/>
      <c r="D668" s="27"/>
      <c r="E668" s="25"/>
      <c r="F668" s="26" t="str">
        <f>IF(E668='Tablas AR'!$B$4,1,IF('Análisis de Riesgos'!E668='Tablas AR'!$B$5,2,IF('Análisis de Riesgos'!E668='Tablas AR'!$B$6,3,"")))</f>
        <v/>
      </c>
      <c r="G668" s="25"/>
      <c r="H668" s="26" t="str">
        <f>IF(G668='Tablas AR'!$B$10,1,IF('Análisis de Riesgos'!G668='Tablas AR'!$B$11,2,IF('Análisis de Riesgos'!G668='Tablas AR'!$B$12,3,"")))</f>
        <v/>
      </c>
      <c r="I668" s="26" t="str">
        <f t="shared" si="10"/>
        <v/>
      </c>
    </row>
    <row r="669" spans="2:9" x14ac:dyDescent="0.3">
      <c r="B669" s="27" t="str">
        <f>IFERROR(INDEX(Activos!$B$3:$C$16, MATCH(C669,Activos!$B$3:$B$16),2),"")</f>
        <v/>
      </c>
      <c r="C669" s="27"/>
      <c r="D669" s="27"/>
      <c r="E669" s="25"/>
      <c r="F669" s="26" t="str">
        <f>IF(E669='Tablas AR'!$B$4,1,IF('Análisis de Riesgos'!E669='Tablas AR'!$B$5,2,IF('Análisis de Riesgos'!E669='Tablas AR'!$B$6,3,"")))</f>
        <v/>
      </c>
      <c r="G669" s="25"/>
      <c r="H669" s="26" t="str">
        <f>IF(G669='Tablas AR'!$B$10,1,IF('Análisis de Riesgos'!G669='Tablas AR'!$B$11,2,IF('Análisis de Riesgos'!G669='Tablas AR'!$B$12,3,"")))</f>
        <v/>
      </c>
      <c r="I669" s="26" t="str">
        <f t="shared" si="10"/>
        <v/>
      </c>
    </row>
    <row r="670" spans="2:9" x14ac:dyDescent="0.3">
      <c r="B670" s="27" t="str">
        <f>IFERROR(INDEX(Activos!$B$3:$C$16, MATCH(C670,Activos!$B$3:$B$16),2),"")</f>
        <v/>
      </c>
      <c r="C670" s="27"/>
      <c r="D670" s="27"/>
      <c r="E670" s="25"/>
      <c r="F670" s="26" t="str">
        <f>IF(E670='Tablas AR'!$B$4,1,IF('Análisis de Riesgos'!E670='Tablas AR'!$B$5,2,IF('Análisis de Riesgos'!E670='Tablas AR'!$B$6,3,"")))</f>
        <v/>
      </c>
      <c r="G670" s="25"/>
      <c r="H670" s="26" t="str">
        <f>IF(G670='Tablas AR'!$B$10,1,IF('Análisis de Riesgos'!G670='Tablas AR'!$B$11,2,IF('Análisis de Riesgos'!G670='Tablas AR'!$B$12,3,"")))</f>
        <v/>
      </c>
      <c r="I670" s="26" t="str">
        <f t="shared" si="10"/>
        <v/>
      </c>
    </row>
    <row r="671" spans="2:9" x14ac:dyDescent="0.3">
      <c r="B671" s="27" t="str">
        <f>IFERROR(INDEX(Activos!$B$3:$C$16, MATCH(C671,Activos!$B$3:$B$16),2),"")</f>
        <v/>
      </c>
      <c r="C671" s="27"/>
      <c r="D671" s="27"/>
      <c r="E671" s="25"/>
      <c r="F671" s="26" t="str">
        <f>IF(E671='Tablas AR'!$B$4,1,IF('Análisis de Riesgos'!E671='Tablas AR'!$B$5,2,IF('Análisis de Riesgos'!E671='Tablas AR'!$B$6,3,"")))</f>
        <v/>
      </c>
      <c r="G671" s="25"/>
      <c r="H671" s="26" t="str">
        <f>IF(G671='Tablas AR'!$B$10,1,IF('Análisis de Riesgos'!G671='Tablas AR'!$B$11,2,IF('Análisis de Riesgos'!G671='Tablas AR'!$B$12,3,"")))</f>
        <v/>
      </c>
      <c r="I671" s="26" t="str">
        <f t="shared" si="10"/>
        <v/>
      </c>
    </row>
    <row r="672" spans="2:9" x14ac:dyDescent="0.3">
      <c r="B672" s="27" t="str">
        <f>IFERROR(INDEX(Activos!$B$3:$C$16, MATCH(C672,Activos!$B$3:$B$16),2),"")</f>
        <v/>
      </c>
      <c r="C672" s="27"/>
      <c r="D672" s="27"/>
      <c r="E672" s="25"/>
      <c r="F672" s="26" t="str">
        <f>IF(E672='Tablas AR'!$B$4,1,IF('Análisis de Riesgos'!E672='Tablas AR'!$B$5,2,IF('Análisis de Riesgos'!E672='Tablas AR'!$B$6,3,"")))</f>
        <v/>
      </c>
      <c r="G672" s="25"/>
      <c r="H672" s="26" t="str">
        <f>IF(G672='Tablas AR'!$B$10,1,IF('Análisis de Riesgos'!G672='Tablas AR'!$B$11,2,IF('Análisis de Riesgos'!G672='Tablas AR'!$B$12,3,"")))</f>
        <v/>
      </c>
      <c r="I672" s="26" t="str">
        <f t="shared" si="10"/>
        <v/>
      </c>
    </row>
    <row r="673" spans="2:9" x14ac:dyDescent="0.3">
      <c r="B673" s="27" t="str">
        <f>IFERROR(INDEX(Activos!$B$3:$C$16, MATCH(C673,Activos!$B$3:$B$16),2),"")</f>
        <v/>
      </c>
      <c r="C673" s="27"/>
      <c r="D673" s="27"/>
      <c r="E673" s="25"/>
      <c r="F673" s="26" t="str">
        <f>IF(E673='Tablas AR'!$B$4,1,IF('Análisis de Riesgos'!E673='Tablas AR'!$B$5,2,IF('Análisis de Riesgos'!E673='Tablas AR'!$B$6,3,"")))</f>
        <v/>
      </c>
      <c r="G673" s="25"/>
      <c r="H673" s="26" t="str">
        <f>IF(G673='Tablas AR'!$B$10,1,IF('Análisis de Riesgos'!G673='Tablas AR'!$B$11,2,IF('Análisis de Riesgos'!G673='Tablas AR'!$B$12,3,"")))</f>
        <v/>
      </c>
      <c r="I673" s="26" t="str">
        <f t="shared" si="10"/>
        <v/>
      </c>
    </row>
    <row r="674" spans="2:9" x14ac:dyDescent="0.3">
      <c r="B674" s="27" t="str">
        <f>IFERROR(INDEX(Activos!$B$3:$C$16, MATCH(C674,Activos!$B$3:$B$16),2),"")</f>
        <v/>
      </c>
      <c r="C674" s="27"/>
      <c r="D674" s="27"/>
      <c r="E674" s="25"/>
      <c r="F674" s="26" t="str">
        <f>IF(E674='Tablas AR'!$B$4,1,IF('Análisis de Riesgos'!E674='Tablas AR'!$B$5,2,IF('Análisis de Riesgos'!E674='Tablas AR'!$B$6,3,"")))</f>
        <v/>
      </c>
      <c r="G674" s="25"/>
      <c r="H674" s="26" t="str">
        <f>IF(G674='Tablas AR'!$B$10,1,IF('Análisis de Riesgos'!G674='Tablas AR'!$B$11,2,IF('Análisis de Riesgos'!G674='Tablas AR'!$B$12,3,"")))</f>
        <v/>
      </c>
      <c r="I674" s="26" t="str">
        <f t="shared" si="10"/>
        <v/>
      </c>
    </row>
    <row r="675" spans="2:9" x14ac:dyDescent="0.3">
      <c r="B675" s="27" t="str">
        <f>IFERROR(INDEX(Activos!$B$3:$C$16, MATCH(C675,Activos!$B$3:$B$16),2),"")</f>
        <v/>
      </c>
      <c r="C675" s="27"/>
      <c r="D675" s="27"/>
      <c r="E675" s="25"/>
      <c r="F675" s="26" t="str">
        <f>IF(E675='Tablas AR'!$B$4,1,IF('Análisis de Riesgos'!E675='Tablas AR'!$B$5,2,IF('Análisis de Riesgos'!E675='Tablas AR'!$B$6,3,"")))</f>
        <v/>
      </c>
      <c r="G675" s="25"/>
      <c r="H675" s="26" t="str">
        <f>IF(G675='Tablas AR'!$B$10,1,IF('Análisis de Riesgos'!G675='Tablas AR'!$B$11,2,IF('Análisis de Riesgos'!G675='Tablas AR'!$B$12,3,"")))</f>
        <v/>
      </c>
      <c r="I675" s="26" t="str">
        <f t="shared" si="10"/>
        <v/>
      </c>
    </row>
    <row r="676" spans="2:9" x14ac:dyDescent="0.3">
      <c r="B676" s="27" t="str">
        <f>IFERROR(INDEX(Activos!$B$3:$C$16, MATCH(C676,Activos!$B$3:$B$16),2),"")</f>
        <v/>
      </c>
      <c r="C676" s="27"/>
      <c r="D676" s="27"/>
      <c r="E676" s="25"/>
      <c r="F676" s="26" t="str">
        <f>IF(E676='Tablas AR'!$B$4,1,IF('Análisis de Riesgos'!E676='Tablas AR'!$B$5,2,IF('Análisis de Riesgos'!E676='Tablas AR'!$B$6,3,"")))</f>
        <v/>
      </c>
      <c r="G676" s="25"/>
      <c r="H676" s="26" t="str">
        <f>IF(G676='Tablas AR'!$B$10,1,IF('Análisis de Riesgos'!G676='Tablas AR'!$B$11,2,IF('Análisis de Riesgos'!G676='Tablas AR'!$B$12,3,"")))</f>
        <v/>
      </c>
      <c r="I676" s="26" t="str">
        <f t="shared" si="10"/>
        <v/>
      </c>
    </row>
    <row r="677" spans="2:9" x14ac:dyDescent="0.3">
      <c r="B677" s="27" t="str">
        <f>IFERROR(INDEX(Activos!$B$3:$C$16, MATCH(C677,Activos!$B$3:$B$16),2),"")</f>
        <v/>
      </c>
      <c r="C677" s="27"/>
      <c r="D677" s="27"/>
      <c r="E677" s="25"/>
      <c r="F677" s="26" t="str">
        <f>IF(E677='Tablas AR'!$B$4,1,IF('Análisis de Riesgos'!E677='Tablas AR'!$B$5,2,IF('Análisis de Riesgos'!E677='Tablas AR'!$B$6,3,"")))</f>
        <v/>
      </c>
      <c r="G677" s="25"/>
      <c r="H677" s="26" t="str">
        <f>IF(G677='Tablas AR'!$B$10,1,IF('Análisis de Riesgos'!G677='Tablas AR'!$B$11,2,IF('Análisis de Riesgos'!G677='Tablas AR'!$B$12,3,"")))</f>
        <v/>
      </c>
      <c r="I677" s="26" t="str">
        <f t="shared" si="10"/>
        <v/>
      </c>
    </row>
    <row r="678" spans="2:9" x14ac:dyDescent="0.3">
      <c r="B678" s="27" t="str">
        <f>IFERROR(INDEX(Activos!$B$3:$C$16, MATCH(C678,Activos!$B$3:$B$16),2),"")</f>
        <v/>
      </c>
      <c r="C678" s="27"/>
      <c r="D678" s="27"/>
      <c r="E678" s="25"/>
      <c r="F678" s="26" t="str">
        <f>IF(E678='Tablas AR'!$B$4,1,IF('Análisis de Riesgos'!E678='Tablas AR'!$B$5,2,IF('Análisis de Riesgos'!E678='Tablas AR'!$B$6,3,"")))</f>
        <v/>
      </c>
      <c r="G678" s="25"/>
      <c r="H678" s="26" t="str">
        <f>IF(G678='Tablas AR'!$B$10,1,IF('Análisis de Riesgos'!G678='Tablas AR'!$B$11,2,IF('Análisis de Riesgos'!G678='Tablas AR'!$B$12,3,"")))</f>
        <v/>
      </c>
      <c r="I678" s="26" t="str">
        <f t="shared" si="10"/>
        <v/>
      </c>
    </row>
    <row r="679" spans="2:9" x14ac:dyDescent="0.3">
      <c r="B679" s="27" t="str">
        <f>IFERROR(INDEX(Activos!$B$3:$C$16, MATCH(C679,Activos!$B$3:$B$16),2),"")</f>
        <v/>
      </c>
      <c r="C679" s="27"/>
      <c r="D679" s="27"/>
      <c r="E679" s="25"/>
      <c r="F679" s="26" t="str">
        <f>IF(E679='Tablas AR'!$B$4,1,IF('Análisis de Riesgos'!E679='Tablas AR'!$B$5,2,IF('Análisis de Riesgos'!E679='Tablas AR'!$B$6,3,"")))</f>
        <v/>
      </c>
      <c r="G679" s="25"/>
      <c r="H679" s="26" t="str">
        <f>IF(G679='Tablas AR'!$B$10,1,IF('Análisis de Riesgos'!G679='Tablas AR'!$B$11,2,IF('Análisis de Riesgos'!G679='Tablas AR'!$B$12,3,"")))</f>
        <v/>
      </c>
      <c r="I679" s="26" t="str">
        <f t="shared" si="10"/>
        <v/>
      </c>
    </row>
    <row r="680" spans="2:9" x14ac:dyDescent="0.3">
      <c r="B680" s="27" t="str">
        <f>IFERROR(INDEX(Activos!$B$3:$C$16, MATCH(C680,Activos!$B$3:$B$16),2),"")</f>
        <v/>
      </c>
      <c r="C680" s="27"/>
      <c r="D680" s="27"/>
      <c r="E680" s="25"/>
      <c r="F680" s="26" t="str">
        <f>IF(E680='Tablas AR'!$B$4,1,IF('Análisis de Riesgos'!E680='Tablas AR'!$B$5,2,IF('Análisis de Riesgos'!E680='Tablas AR'!$B$6,3,"")))</f>
        <v/>
      </c>
      <c r="G680" s="25"/>
      <c r="H680" s="26" t="str">
        <f>IF(G680='Tablas AR'!$B$10,1,IF('Análisis de Riesgos'!G680='Tablas AR'!$B$11,2,IF('Análisis de Riesgos'!G680='Tablas AR'!$B$12,3,"")))</f>
        <v/>
      </c>
      <c r="I680" s="26" t="str">
        <f t="shared" si="10"/>
        <v/>
      </c>
    </row>
    <row r="681" spans="2:9" x14ac:dyDescent="0.3">
      <c r="B681" s="27" t="str">
        <f>IFERROR(INDEX(Activos!$B$3:$C$16, MATCH(C681,Activos!$B$3:$B$16),2),"")</f>
        <v/>
      </c>
      <c r="C681" s="27"/>
      <c r="D681" s="27"/>
      <c r="E681" s="25"/>
      <c r="F681" s="26" t="str">
        <f>IF(E681='Tablas AR'!$B$4,1,IF('Análisis de Riesgos'!E681='Tablas AR'!$B$5,2,IF('Análisis de Riesgos'!E681='Tablas AR'!$B$6,3,"")))</f>
        <v/>
      </c>
      <c r="G681" s="25"/>
      <c r="H681" s="26" t="str">
        <f>IF(G681='Tablas AR'!$B$10,1,IF('Análisis de Riesgos'!G681='Tablas AR'!$B$11,2,IF('Análisis de Riesgos'!G681='Tablas AR'!$B$12,3,"")))</f>
        <v/>
      </c>
      <c r="I681" s="26" t="str">
        <f t="shared" si="10"/>
        <v/>
      </c>
    </row>
    <row r="682" spans="2:9" x14ac:dyDescent="0.3">
      <c r="B682" s="27" t="str">
        <f>IFERROR(INDEX(Activos!$B$3:$C$16, MATCH(C682,Activos!$B$3:$B$16),2),"")</f>
        <v/>
      </c>
      <c r="C682" s="27"/>
      <c r="D682" s="27"/>
      <c r="E682" s="25"/>
      <c r="F682" s="26" t="str">
        <f>IF(E682='Tablas AR'!$B$4,1,IF('Análisis de Riesgos'!E682='Tablas AR'!$B$5,2,IF('Análisis de Riesgos'!E682='Tablas AR'!$B$6,3,"")))</f>
        <v/>
      </c>
      <c r="G682" s="25"/>
      <c r="H682" s="26" t="str">
        <f>IF(G682='Tablas AR'!$B$10,1,IF('Análisis de Riesgos'!G682='Tablas AR'!$B$11,2,IF('Análisis de Riesgos'!G682='Tablas AR'!$B$12,3,"")))</f>
        <v/>
      </c>
      <c r="I682" s="26" t="str">
        <f t="shared" si="10"/>
        <v/>
      </c>
    </row>
    <row r="683" spans="2:9" x14ac:dyDescent="0.3">
      <c r="B683" s="27" t="str">
        <f>IFERROR(INDEX(Activos!$B$3:$C$16, MATCH(C683,Activos!$B$3:$B$16),2),"")</f>
        <v/>
      </c>
      <c r="C683" s="27"/>
      <c r="D683" s="27"/>
      <c r="E683" s="25"/>
      <c r="F683" s="26" t="str">
        <f>IF(E683='Tablas AR'!$B$4,1,IF('Análisis de Riesgos'!E683='Tablas AR'!$B$5,2,IF('Análisis de Riesgos'!E683='Tablas AR'!$B$6,3,"")))</f>
        <v/>
      </c>
      <c r="G683" s="25"/>
      <c r="H683" s="26" t="str">
        <f>IF(G683='Tablas AR'!$B$10,1,IF('Análisis de Riesgos'!G683='Tablas AR'!$B$11,2,IF('Análisis de Riesgos'!G683='Tablas AR'!$B$12,3,"")))</f>
        <v/>
      </c>
      <c r="I683" s="26" t="str">
        <f t="shared" si="10"/>
        <v/>
      </c>
    </row>
    <row r="684" spans="2:9" x14ac:dyDescent="0.3">
      <c r="B684" s="27" t="str">
        <f>IFERROR(INDEX(Activos!$B$3:$C$16, MATCH(C684,Activos!$B$3:$B$16),2),"")</f>
        <v/>
      </c>
      <c r="C684" s="27"/>
      <c r="D684" s="27"/>
      <c r="E684" s="25"/>
      <c r="F684" s="26" t="str">
        <f>IF(E684='Tablas AR'!$B$4,1,IF('Análisis de Riesgos'!E684='Tablas AR'!$B$5,2,IF('Análisis de Riesgos'!E684='Tablas AR'!$B$6,3,"")))</f>
        <v/>
      </c>
      <c r="G684" s="25"/>
      <c r="H684" s="26" t="str">
        <f>IF(G684='Tablas AR'!$B$10,1,IF('Análisis de Riesgos'!G684='Tablas AR'!$B$11,2,IF('Análisis de Riesgos'!G684='Tablas AR'!$B$12,3,"")))</f>
        <v/>
      </c>
      <c r="I684" s="26" t="str">
        <f t="shared" si="10"/>
        <v/>
      </c>
    </row>
    <row r="685" spans="2:9" x14ac:dyDescent="0.3">
      <c r="B685" s="27" t="str">
        <f>IFERROR(INDEX(Activos!$B$3:$C$16, MATCH(C685,Activos!$B$3:$B$16),2),"")</f>
        <v/>
      </c>
      <c r="C685" s="27"/>
      <c r="D685" s="27"/>
      <c r="E685" s="25"/>
      <c r="F685" s="26" t="str">
        <f>IF(E685='Tablas AR'!$B$4,1,IF('Análisis de Riesgos'!E685='Tablas AR'!$B$5,2,IF('Análisis de Riesgos'!E685='Tablas AR'!$B$6,3,"")))</f>
        <v/>
      </c>
      <c r="G685" s="25"/>
      <c r="H685" s="26" t="str">
        <f>IF(G685='Tablas AR'!$B$10,1,IF('Análisis de Riesgos'!G685='Tablas AR'!$B$11,2,IF('Análisis de Riesgos'!G685='Tablas AR'!$B$12,3,"")))</f>
        <v/>
      </c>
      <c r="I685" s="26" t="str">
        <f t="shared" si="10"/>
        <v/>
      </c>
    </row>
    <row r="686" spans="2:9" x14ac:dyDescent="0.3">
      <c r="B686" s="27" t="str">
        <f>IFERROR(INDEX(Activos!$B$3:$C$16, MATCH(C686,Activos!$B$3:$B$16),2),"")</f>
        <v/>
      </c>
      <c r="C686" s="27"/>
      <c r="D686" s="27"/>
      <c r="E686" s="25"/>
      <c r="F686" s="26" t="str">
        <f>IF(E686='Tablas AR'!$B$4,1,IF('Análisis de Riesgos'!E686='Tablas AR'!$B$5,2,IF('Análisis de Riesgos'!E686='Tablas AR'!$B$6,3,"")))</f>
        <v/>
      </c>
      <c r="G686" s="25"/>
      <c r="H686" s="26" t="str">
        <f>IF(G686='Tablas AR'!$B$10,1,IF('Análisis de Riesgos'!G686='Tablas AR'!$B$11,2,IF('Análisis de Riesgos'!G686='Tablas AR'!$B$12,3,"")))</f>
        <v/>
      </c>
      <c r="I686" s="26" t="str">
        <f t="shared" si="10"/>
        <v/>
      </c>
    </row>
    <row r="687" spans="2:9" x14ac:dyDescent="0.3">
      <c r="B687" s="27" t="str">
        <f>IFERROR(INDEX(Activos!$B$3:$C$16, MATCH(C687,Activos!$B$3:$B$16),2),"")</f>
        <v/>
      </c>
      <c r="C687" s="27"/>
      <c r="D687" s="27"/>
      <c r="E687" s="25"/>
      <c r="F687" s="26" t="str">
        <f>IF(E687='Tablas AR'!$B$4,1,IF('Análisis de Riesgos'!E687='Tablas AR'!$B$5,2,IF('Análisis de Riesgos'!E687='Tablas AR'!$B$6,3,"")))</f>
        <v/>
      </c>
      <c r="G687" s="25"/>
      <c r="H687" s="26" t="str">
        <f>IF(G687='Tablas AR'!$B$10,1,IF('Análisis de Riesgos'!G687='Tablas AR'!$B$11,2,IF('Análisis de Riesgos'!G687='Tablas AR'!$B$12,3,"")))</f>
        <v/>
      </c>
      <c r="I687" s="26" t="str">
        <f t="shared" si="10"/>
        <v/>
      </c>
    </row>
    <row r="688" spans="2:9" x14ac:dyDescent="0.3">
      <c r="B688" s="27" t="str">
        <f>IFERROR(INDEX(Activos!$B$3:$C$16, MATCH(C688,Activos!$B$3:$B$16),2),"")</f>
        <v/>
      </c>
      <c r="C688" s="27"/>
      <c r="D688" s="27"/>
      <c r="E688" s="25"/>
      <c r="F688" s="26" t="str">
        <f>IF(E688='Tablas AR'!$B$4,1,IF('Análisis de Riesgos'!E688='Tablas AR'!$B$5,2,IF('Análisis de Riesgos'!E688='Tablas AR'!$B$6,3,"")))</f>
        <v/>
      </c>
      <c r="G688" s="25"/>
      <c r="H688" s="26" t="str">
        <f>IF(G688='Tablas AR'!$B$10,1,IF('Análisis de Riesgos'!G688='Tablas AR'!$B$11,2,IF('Análisis de Riesgos'!G688='Tablas AR'!$B$12,3,"")))</f>
        <v/>
      </c>
      <c r="I688" s="26" t="str">
        <f t="shared" si="10"/>
        <v/>
      </c>
    </row>
    <row r="689" spans="2:9" x14ac:dyDescent="0.3">
      <c r="B689" s="27" t="str">
        <f>IFERROR(INDEX(Activos!$B$3:$C$16, MATCH(C689,Activos!$B$3:$B$16),2),"")</f>
        <v/>
      </c>
      <c r="C689" s="27"/>
      <c r="D689" s="27"/>
      <c r="E689" s="25"/>
      <c r="F689" s="26" t="str">
        <f>IF(E689='Tablas AR'!$B$4,1,IF('Análisis de Riesgos'!E689='Tablas AR'!$B$5,2,IF('Análisis de Riesgos'!E689='Tablas AR'!$B$6,3,"")))</f>
        <v/>
      </c>
      <c r="G689" s="25"/>
      <c r="H689" s="26" t="str">
        <f>IF(G689='Tablas AR'!$B$10,1,IF('Análisis de Riesgos'!G689='Tablas AR'!$B$11,2,IF('Análisis de Riesgos'!G689='Tablas AR'!$B$12,3,"")))</f>
        <v/>
      </c>
      <c r="I689" s="26" t="str">
        <f t="shared" si="10"/>
        <v/>
      </c>
    </row>
    <row r="690" spans="2:9" x14ac:dyDescent="0.3">
      <c r="B690" s="27" t="str">
        <f>IFERROR(INDEX(Activos!$B$3:$C$16, MATCH(C690,Activos!$B$3:$B$16),2),"")</f>
        <v/>
      </c>
      <c r="C690" s="27"/>
      <c r="D690" s="27"/>
      <c r="E690" s="25"/>
      <c r="F690" s="26" t="str">
        <f>IF(E690='Tablas AR'!$B$4,1,IF('Análisis de Riesgos'!E690='Tablas AR'!$B$5,2,IF('Análisis de Riesgos'!E690='Tablas AR'!$B$6,3,"")))</f>
        <v/>
      </c>
      <c r="G690" s="25"/>
      <c r="H690" s="26" t="str">
        <f>IF(G690='Tablas AR'!$B$10,1,IF('Análisis de Riesgos'!G690='Tablas AR'!$B$11,2,IF('Análisis de Riesgos'!G690='Tablas AR'!$B$12,3,"")))</f>
        <v/>
      </c>
      <c r="I690" s="26" t="str">
        <f t="shared" si="10"/>
        <v/>
      </c>
    </row>
    <row r="691" spans="2:9" x14ac:dyDescent="0.3">
      <c r="B691" s="27" t="str">
        <f>IFERROR(INDEX(Activos!$B$3:$C$16, MATCH(C691,Activos!$B$3:$B$16),2),"")</f>
        <v/>
      </c>
      <c r="C691" s="27"/>
      <c r="D691" s="27"/>
      <c r="E691" s="25"/>
      <c r="F691" s="26" t="str">
        <f>IF(E691='Tablas AR'!$B$4,1,IF('Análisis de Riesgos'!E691='Tablas AR'!$B$5,2,IF('Análisis de Riesgos'!E691='Tablas AR'!$B$6,3,"")))</f>
        <v/>
      </c>
      <c r="G691" s="25"/>
      <c r="H691" s="26" t="str">
        <f>IF(G691='Tablas AR'!$B$10,1,IF('Análisis de Riesgos'!G691='Tablas AR'!$B$11,2,IF('Análisis de Riesgos'!G691='Tablas AR'!$B$12,3,"")))</f>
        <v/>
      </c>
      <c r="I691" s="26" t="str">
        <f t="shared" si="10"/>
        <v/>
      </c>
    </row>
    <row r="692" spans="2:9" x14ac:dyDescent="0.3">
      <c r="B692" s="27" t="str">
        <f>IFERROR(INDEX(Activos!$B$3:$C$16, MATCH(C692,Activos!$B$3:$B$16),2),"")</f>
        <v/>
      </c>
      <c r="C692" s="27"/>
      <c r="D692" s="27"/>
      <c r="E692" s="25"/>
      <c r="F692" s="26" t="str">
        <f>IF(E692='Tablas AR'!$B$4,1,IF('Análisis de Riesgos'!E692='Tablas AR'!$B$5,2,IF('Análisis de Riesgos'!E692='Tablas AR'!$B$6,3,"")))</f>
        <v/>
      </c>
      <c r="G692" s="25"/>
      <c r="H692" s="26" t="str">
        <f>IF(G692='Tablas AR'!$B$10,1,IF('Análisis de Riesgos'!G692='Tablas AR'!$B$11,2,IF('Análisis de Riesgos'!G692='Tablas AR'!$B$12,3,"")))</f>
        <v/>
      </c>
      <c r="I692" s="26" t="str">
        <f t="shared" si="10"/>
        <v/>
      </c>
    </row>
    <row r="693" spans="2:9" x14ac:dyDescent="0.3">
      <c r="B693" s="27" t="str">
        <f>IFERROR(INDEX(Activos!$B$3:$C$16, MATCH(C693,Activos!$B$3:$B$16),2),"")</f>
        <v/>
      </c>
      <c r="C693" s="27"/>
      <c r="D693" s="27"/>
      <c r="E693" s="25"/>
      <c r="F693" s="26" t="str">
        <f>IF(E693='Tablas AR'!$B$4,1,IF('Análisis de Riesgos'!E693='Tablas AR'!$B$5,2,IF('Análisis de Riesgos'!E693='Tablas AR'!$B$6,3,"")))</f>
        <v/>
      </c>
      <c r="G693" s="25"/>
      <c r="H693" s="26" t="str">
        <f>IF(G693='Tablas AR'!$B$10,1,IF('Análisis de Riesgos'!G693='Tablas AR'!$B$11,2,IF('Análisis de Riesgos'!G693='Tablas AR'!$B$12,3,"")))</f>
        <v/>
      </c>
      <c r="I693" s="26" t="str">
        <f t="shared" si="10"/>
        <v/>
      </c>
    </row>
    <row r="694" spans="2:9" x14ac:dyDescent="0.3">
      <c r="B694" s="27" t="str">
        <f>IFERROR(INDEX(Activos!$B$3:$C$16, MATCH(C694,Activos!$B$3:$B$16),2),"")</f>
        <v/>
      </c>
      <c r="C694" s="27"/>
      <c r="D694" s="27"/>
      <c r="E694" s="25"/>
      <c r="F694" s="26" t="str">
        <f>IF(E694='Tablas AR'!$B$4,1,IF('Análisis de Riesgos'!E694='Tablas AR'!$B$5,2,IF('Análisis de Riesgos'!E694='Tablas AR'!$B$6,3,"")))</f>
        <v/>
      </c>
      <c r="G694" s="25"/>
      <c r="H694" s="26" t="str">
        <f>IF(G694='Tablas AR'!$B$10,1,IF('Análisis de Riesgos'!G694='Tablas AR'!$B$11,2,IF('Análisis de Riesgos'!G694='Tablas AR'!$B$12,3,"")))</f>
        <v/>
      </c>
      <c r="I694" s="26" t="str">
        <f t="shared" si="10"/>
        <v/>
      </c>
    </row>
    <row r="695" spans="2:9" x14ac:dyDescent="0.3">
      <c r="B695" s="27" t="str">
        <f>IFERROR(INDEX(Activos!$B$3:$C$16, MATCH(C695,Activos!$B$3:$B$16),2),"")</f>
        <v/>
      </c>
      <c r="C695" s="27"/>
      <c r="D695" s="27"/>
      <c r="E695" s="25"/>
      <c r="F695" s="26" t="str">
        <f>IF(E695='Tablas AR'!$B$4,1,IF('Análisis de Riesgos'!E695='Tablas AR'!$B$5,2,IF('Análisis de Riesgos'!E695='Tablas AR'!$B$6,3,"")))</f>
        <v/>
      </c>
      <c r="G695" s="25"/>
      <c r="H695" s="26" t="str">
        <f>IF(G695='Tablas AR'!$B$10,1,IF('Análisis de Riesgos'!G695='Tablas AR'!$B$11,2,IF('Análisis de Riesgos'!G695='Tablas AR'!$B$12,3,"")))</f>
        <v/>
      </c>
      <c r="I695" s="26" t="str">
        <f t="shared" si="10"/>
        <v/>
      </c>
    </row>
    <row r="696" spans="2:9" x14ac:dyDescent="0.3">
      <c r="B696" s="27" t="str">
        <f>IFERROR(INDEX(Activos!$B$3:$C$16, MATCH(C696,Activos!$B$3:$B$16),2),"")</f>
        <v/>
      </c>
      <c r="C696" s="27"/>
      <c r="D696" s="27"/>
      <c r="E696" s="25"/>
      <c r="F696" s="26" t="str">
        <f>IF(E696='Tablas AR'!$B$4,1,IF('Análisis de Riesgos'!E696='Tablas AR'!$B$5,2,IF('Análisis de Riesgos'!E696='Tablas AR'!$B$6,3,"")))</f>
        <v/>
      </c>
      <c r="G696" s="25"/>
      <c r="H696" s="26" t="str">
        <f>IF(G696='Tablas AR'!$B$10,1,IF('Análisis de Riesgos'!G696='Tablas AR'!$B$11,2,IF('Análisis de Riesgos'!G696='Tablas AR'!$B$12,3,"")))</f>
        <v/>
      </c>
      <c r="I696" s="26" t="str">
        <f t="shared" si="10"/>
        <v/>
      </c>
    </row>
    <row r="697" spans="2:9" x14ac:dyDescent="0.3">
      <c r="B697" s="27" t="str">
        <f>IFERROR(INDEX(Activos!$B$3:$C$16, MATCH(C697,Activos!$B$3:$B$16),2),"")</f>
        <v/>
      </c>
      <c r="C697" s="27"/>
      <c r="D697" s="27"/>
      <c r="E697" s="25"/>
      <c r="F697" s="26" t="str">
        <f>IF(E697='Tablas AR'!$B$4,1,IF('Análisis de Riesgos'!E697='Tablas AR'!$B$5,2,IF('Análisis de Riesgos'!E697='Tablas AR'!$B$6,3,"")))</f>
        <v/>
      </c>
      <c r="G697" s="25"/>
      <c r="H697" s="26" t="str">
        <f>IF(G697='Tablas AR'!$B$10,1,IF('Análisis de Riesgos'!G697='Tablas AR'!$B$11,2,IF('Análisis de Riesgos'!G697='Tablas AR'!$B$12,3,"")))</f>
        <v/>
      </c>
      <c r="I697" s="26" t="str">
        <f t="shared" si="10"/>
        <v/>
      </c>
    </row>
    <row r="698" spans="2:9" x14ac:dyDescent="0.3">
      <c r="B698" s="27" t="str">
        <f>IFERROR(INDEX(Activos!$B$3:$C$16, MATCH(C698,Activos!$B$3:$B$16),2),"")</f>
        <v/>
      </c>
      <c r="C698" s="27"/>
      <c r="D698" s="27"/>
      <c r="E698" s="25"/>
      <c r="F698" s="26" t="str">
        <f>IF(E698='Tablas AR'!$B$4,1,IF('Análisis de Riesgos'!E698='Tablas AR'!$B$5,2,IF('Análisis de Riesgos'!E698='Tablas AR'!$B$6,3,"")))</f>
        <v/>
      </c>
      <c r="G698" s="25"/>
      <c r="H698" s="26" t="str">
        <f>IF(G698='Tablas AR'!$B$10,1,IF('Análisis de Riesgos'!G698='Tablas AR'!$B$11,2,IF('Análisis de Riesgos'!G698='Tablas AR'!$B$12,3,"")))</f>
        <v/>
      </c>
      <c r="I698" s="26" t="str">
        <f t="shared" si="10"/>
        <v/>
      </c>
    </row>
    <row r="699" spans="2:9" x14ac:dyDescent="0.3">
      <c r="B699" s="27" t="str">
        <f>IFERROR(INDEX(Activos!$B$3:$C$16, MATCH(C699,Activos!$B$3:$B$16),2),"")</f>
        <v/>
      </c>
      <c r="C699" s="27"/>
      <c r="D699" s="27"/>
      <c r="E699" s="25"/>
      <c r="F699" s="26" t="str">
        <f>IF(E699='Tablas AR'!$B$4,1,IF('Análisis de Riesgos'!E699='Tablas AR'!$B$5,2,IF('Análisis de Riesgos'!E699='Tablas AR'!$B$6,3,"")))</f>
        <v/>
      </c>
      <c r="G699" s="25"/>
      <c r="H699" s="26" t="str">
        <f>IF(G699='Tablas AR'!$B$10,1,IF('Análisis de Riesgos'!G699='Tablas AR'!$B$11,2,IF('Análisis de Riesgos'!G699='Tablas AR'!$B$12,3,"")))</f>
        <v/>
      </c>
      <c r="I699" s="26" t="str">
        <f t="shared" si="10"/>
        <v/>
      </c>
    </row>
    <row r="700" spans="2:9" x14ac:dyDescent="0.3">
      <c r="B700" s="27" t="str">
        <f>IFERROR(INDEX(Activos!$B$3:$C$16, MATCH(C700,Activos!$B$3:$B$16),2),"")</f>
        <v/>
      </c>
      <c r="C700" s="27"/>
      <c r="D700" s="27"/>
      <c r="E700" s="25"/>
      <c r="F700" s="26" t="str">
        <f>IF(E700='Tablas AR'!$B$4,1,IF('Análisis de Riesgos'!E700='Tablas AR'!$B$5,2,IF('Análisis de Riesgos'!E700='Tablas AR'!$B$6,3,"")))</f>
        <v/>
      </c>
      <c r="G700" s="25"/>
      <c r="H700" s="26" t="str">
        <f>IF(G700='Tablas AR'!$B$10,1,IF('Análisis de Riesgos'!G700='Tablas AR'!$B$11,2,IF('Análisis de Riesgos'!G700='Tablas AR'!$B$12,3,"")))</f>
        <v/>
      </c>
      <c r="I700" s="26" t="str">
        <f t="shared" si="10"/>
        <v/>
      </c>
    </row>
    <row r="701" spans="2:9" x14ac:dyDescent="0.3">
      <c r="B701" s="27" t="str">
        <f>IFERROR(INDEX(Activos!$B$3:$C$16, MATCH(C701,Activos!$B$3:$B$16),2),"")</f>
        <v/>
      </c>
      <c r="C701" s="27"/>
      <c r="D701" s="27"/>
      <c r="E701" s="25"/>
      <c r="F701" s="26" t="str">
        <f>IF(E701='Tablas AR'!$B$4,1,IF('Análisis de Riesgos'!E701='Tablas AR'!$B$5,2,IF('Análisis de Riesgos'!E701='Tablas AR'!$B$6,3,"")))</f>
        <v/>
      </c>
      <c r="G701" s="25"/>
      <c r="H701" s="26" t="str">
        <f>IF(G701='Tablas AR'!$B$10,1,IF('Análisis de Riesgos'!G701='Tablas AR'!$B$11,2,IF('Análisis de Riesgos'!G701='Tablas AR'!$B$12,3,"")))</f>
        <v/>
      </c>
      <c r="I701" s="26" t="str">
        <f t="shared" si="10"/>
        <v/>
      </c>
    </row>
    <row r="702" spans="2:9" x14ac:dyDescent="0.3">
      <c r="B702" s="27" t="str">
        <f>IFERROR(INDEX(Activos!$B$3:$C$16, MATCH(C702,Activos!$B$3:$B$16),2),"")</f>
        <v/>
      </c>
      <c r="C702" s="27"/>
      <c r="D702" s="27"/>
      <c r="E702" s="25"/>
      <c r="F702" s="26" t="str">
        <f>IF(E702='Tablas AR'!$B$4,1,IF('Análisis de Riesgos'!E702='Tablas AR'!$B$5,2,IF('Análisis de Riesgos'!E702='Tablas AR'!$B$6,3,"")))</f>
        <v/>
      </c>
      <c r="G702" s="25"/>
      <c r="H702" s="26" t="str">
        <f>IF(G702='Tablas AR'!$B$10,1,IF('Análisis de Riesgos'!G702='Tablas AR'!$B$11,2,IF('Análisis de Riesgos'!G702='Tablas AR'!$B$12,3,"")))</f>
        <v/>
      </c>
      <c r="I702" s="26" t="str">
        <f t="shared" si="10"/>
        <v/>
      </c>
    </row>
    <row r="703" spans="2:9" x14ac:dyDescent="0.3">
      <c r="B703" s="27" t="str">
        <f>IFERROR(INDEX(Activos!$B$3:$C$16, MATCH(C703,Activos!$B$3:$B$16),2),"")</f>
        <v/>
      </c>
      <c r="C703" s="27"/>
      <c r="D703" s="27"/>
      <c r="E703" s="25"/>
      <c r="F703" s="26" t="str">
        <f>IF(E703='Tablas AR'!$B$4,1,IF('Análisis de Riesgos'!E703='Tablas AR'!$B$5,2,IF('Análisis de Riesgos'!E703='Tablas AR'!$B$6,3,"")))</f>
        <v/>
      </c>
      <c r="G703" s="25"/>
      <c r="H703" s="26" t="str">
        <f>IF(G703='Tablas AR'!$B$10,1,IF('Análisis de Riesgos'!G703='Tablas AR'!$B$11,2,IF('Análisis de Riesgos'!G703='Tablas AR'!$B$12,3,"")))</f>
        <v/>
      </c>
      <c r="I703" s="26" t="str">
        <f t="shared" si="10"/>
        <v/>
      </c>
    </row>
    <row r="704" spans="2:9" x14ac:dyDescent="0.3">
      <c r="B704" s="27" t="str">
        <f>IFERROR(INDEX(Activos!$B$3:$C$16, MATCH(C704,Activos!$B$3:$B$16),2),"")</f>
        <v/>
      </c>
      <c r="C704" s="27"/>
      <c r="D704" s="27"/>
      <c r="E704" s="25"/>
      <c r="F704" s="26" t="str">
        <f>IF(E704='Tablas AR'!$B$4,1,IF('Análisis de Riesgos'!E704='Tablas AR'!$B$5,2,IF('Análisis de Riesgos'!E704='Tablas AR'!$B$6,3,"")))</f>
        <v/>
      </c>
      <c r="G704" s="25"/>
      <c r="H704" s="26" t="str">
        <f>IF(G704='Tablas AR'!$B$10,1,IF('Análisis de Riesgos'!G704='Tablas AR'!$B$11,2,IF('Análisis de Riesgos'!G704='Tablas AR'!$B$12,3,"")))</f>
        <v/>
      </c>
      <c r="I704" s="26" t="str">
        <f t="shared" si="10"/>
        <v/>
      </c>
    </row>
    <row r="705" spans="2:9" x14ac:dyDescent="0.3">
      <c r="B705" s="27" t="str">
        <f>IFERROR(INDEX(Activos!$B$3:$C$16, MATCH(C705,Activos!$B$3:$B$16),2),"")</f>
        <v/>
      </c>
      <c r="C705" s="27"/>
      <c r="D705" s="27"/>
      <c r="E705" s="25"/>
      <c r="F705" s="26" t="str">
        <f>IF(E705='Tablas AR'!$B$4,1,IF('Análisis de Riesgos'!E705='Tablas AR'!$B$5,2,IF('Análisis de Riesgos'!E705='Tablas AR'!$B$6,3,"")))</f>
        <v/>
      </c>
      <c r="G705" s="25"/>
      <c r="H705" s="26" t="str">
        <f>IF(G705='Tablas AR'!$B$10,1,IF('Análisis de Riesgos'!G705='Tablas AR'!$B$11,2,IF('Análisis de Riesgos'!G705='Tablas AR'!$B$12,3,"")))</f>
        <v/>
      </c>
      <c r="I705" s="26" t="str">
        <f t="shared" si="10"/>
        <v/>
      </c>
    </row>
    <row r="706" spans="2:9" x14ac:dyDescent="0.3">
      <c r="B706" s="27" t="str">
        <f>IFERROR(INDEX(Activos!$B$3:$C$16, MATCH(C706,Activos!$B$3:$B$16),2),"")</f>
        <v/>
      </c>
      <c r="C706" s="27"/>
      <c r="D706" s="27"/>
      <c r="E706" s="25"/>
      <c r="F706" s="26" t="str">
        <f>IF(E706='Tablas AR'!$B$4,1,IF('Análisis de Riesgos'!E706='Tablas AR'!$B$5,2,IF('Análisis de Riesgos'!E706='Tablas AR'!$B$6,3,"")))</f>
        <v/>
      </c>
      <c r="G706" s="25"/>
      <c r="H706" s="26" t="str">
        <f>IF(G706='Tablas AR'!$B$10,1,IF('Análisis de Riesgos'!G706='Tablas AR'!$B$11,2,IF('Análisis de Riesgos'!G706='Tablas AR'!$B$12,3,"")))</f>
        <v/>
      </c>
      <c r="I706" s="26" t="str">
        <f t="shared" si="10"/>
        <v/>
      </c>
    </row>
    <row r="707" spans="2:9" x14ac:dyDescent="0.3">
      <c r="B707" s="27" t="str">
        <f>IFERROR(INDEX(Activos!$B$3:$C$16, MATCH(C707,Activos!$B$3:$B$16),2),"")</f>
        <v/>
      </c>
      <c r="C707" s="27"/>
      <c r="D707" s="27"/>
      <c r="E707" s="25"/>
      <c r="F707" s="26" t="str">
        <f>IF(E707='Tablas AR'!$B$4,1,IF('Análisis de Riesgos'!E707='Tablas AR'!$B$5,2,IF('Análisis de Riesgos'!E707='Tablas AR'!$B$6,3,"")))</f>
        <v/>
      </c>
      <c r="G707" s="25"/>
      <c r="H707" s="26" t="str">
        <f>IF(G707='Tablas AR'!$B$10,1,IF('Análisis de Riesgos'!G707='Tablas AR'!$B$11,2,IF('Análisis de Riesgos'!G707='Tablas AR'!$B$12,3,"")))</f>
        <v/>
      </c>
      <c r="I707" s="26" t="str">
        <f t="shared" si="10"/>
        <v/>
      </c>
    </row>
    <row r="708" spans="2:9" x14ac:dyDescent="0.3">
      <c r="B708" s="27" t="str">
        <f>IFERROR(INDEX(Activos!$B$3:$C$16, MATCH(C708,Activos!$B$3:$B$16),2),"")</f>
        <v/>
      </c>
      <c r="C708" s="27"/>
      <c r="D708" s="27"/>
      <c r="E708" s="25"/>
      <c r="F708" s="26" t="str">
        <f>IF(E708='Tablas AR'!$B$4,1,IF('Análisis de Riesgos'!E708='Tablas AR'!$B$5,2,IF('Análisis de Riesgos'!E708='Tablas AR'!$B$6,3,"")))</f>
        <v/>
      </c>
      <c r="G708" s="25"/>
      <c r="H708" s="26" t="str">
        <f>IF(G708='Tablas AR'!$B$10,1,IF('Análisis de Riesgos'!G708='Tablas AR'!$B$11,2,IF('Análisis de Riesgos'!G708='Tablas AR'!$B$12,3,"")))</f>
        <v/>
      </c>
      <c r="I708" s="26" t="str">
        <f t="shared" ref="I708:I771" si="11" xml:space="preserve"> IFERROR(F708*H708,"")</f>
        <v/>
      </c>
    </row>
    <row r="709" spans="2:9" x14ac:dyDescent="0.3">
      <c r="B709" s="27" t="str">
        <f>IFERROR(INDEX(Activos!$B$3:$C$16, MATCH(C709,Activos!$B$3:$B$16),2),"")</f>
        <v/>
      </c>
      <c r="C709" s="27"/>
      <c r="D709" s="27"/>
      <c r="E709" s="25"/>
      <c r="F709" s="26" t="str">
        <f>IF(E709='Tablas AR'!$B$4,1,IF('Análisis de Riesgos'!E709='Tablas AR'!$B$5,2,IF('Análisis de Riesgos'!E709='Tablas AR'!$B$6,3,"")))</f>
        <v/>
      </c>
      <c r="G709" s="25"/>
      <c r="H709" s="26" t="str">
        <f>IF(G709='Tablas AR'!$B$10,1,IF('Análisis de Riesgos'!G709='Tablas AR'!$B$11,2,IF('Análisis de Riesgos'!G709='Tablas AR'!$B$12,3,"")))</f>
        <v/>
      </c>
      <c r="I709" s="26" t="str">
        <f t="shared" si="11"/>
        <v/>
      </c>
    </row>
    <row r="710" spans="2:9" x14ac:dyDescent="0.3">
      <c r="B710" s="27" t="str">
        <f>IFERROR(INDEX(Activos!$B$3:$C$16, MATCH(C710,Activos!$B$3:$B$16),2),"")</f>
        <v/>
      </c>
      <c r="C710" s="27"/>
      <c r="D710" s="27"/>
      <c r="E710" s="25"/>
      <c r="F710" s="26" t="str">
        <f>IF(E710='Tablas AR'!$B$4,1,IF('Análisis de Riesgos'!E710='Tablas AR'!$B$5,2,IF('Análisis de Riesgos'!E710='Tablas AR'!$B$6,3,"")))</f>
        <v/>
      </c>
      <c r="G710" s="25"/>
      <c r="H710" s="26" t="str">
        <f>IF(G710='Tablas AR'!$B$10,1,IF('Análisis de Riesgos'!G710='Tablas AR'!$B$11,2,IF('Análisis de Riesgos'!G710='Tablas AR'!$B$12,3,"")))</f>
        <v/>
      </c>
      <c r="I710" s="26" t="str">
        <f t="shared" si="11"/>
        <v/>
      </c>
    </row>
    <row r="711" spans="2:9" x14ac:dyDescent="0.3">
      <c r="B711" s="27" t="str">
        <f>IFERROR(INDEX(Activos!$B$3:$C$16, MATCH(C711,Activos!$B$3:$B$16),2),"")</f>
        <v/>
      </c>
      <c r="C711" s="27"/>
      <c r="D711" s="27"/>
      <c r="E711" s="25"/>
      <c r="F711" s="26" t="str">
        <f>IF(E711='Tablas AR'!$B$4,1,IF('Análisis de Riesgos'!E711='Tablas AR'!$B$5,2,IF('Análisis de Riesgos'!E711='Tablas AR'!$B$6,3,"")))</f>
        <v/>
      </c>
      <c r="G711" s="25"/>
      <c r="H711" s="26" t="str">
        <f>IF(G711='Tablas AR'!$B$10,1,IF('Análisis de Riesgos'!G711='Tablas AR'!$B$11,2,IF('Análisis de Riesgos'!G711='Tablas AR'!$B$12,3,"")))</f>
        <v/>
      </c>
      <c r="I711" s="26" t="str">
        <f t="shared" si="11"/>
        <v/>
      </c>
    </row>
    <row r="712" spans="2:9" x14ac:dyDescent="0.3">
      <c r="B712" s="27" t="str">
        <f>IFERROR(INDEX(Activos!$B$3:$C$16, MATCH(C712,Activos!$B$3:$B$16),2),"")</f>
        <v/>
      </c>
      <c r="C712" s="27"/>
      <c r="D712" s="27"/>
      <c r="E712" s="25"/>
      <c r="F712" s="26" t="str">
        <f>IF(E712='Tablas AR'!$B$4,1,IF('Análisis de Riesgos'!E712='Tablas AR'!$B$5,2,IF('Análisis de Riesgos'!E712='Tablas AR'!$B$6,3,"")))</f>
        <v/>
      </c>
      <c r="G712" s="25"/>
      <c r="H712" s="26" t="str">
        <f>IF(G712='Tablas AR'!$B$10,1,IF('Análisis de Riesgos'!G712='Tablas AR'!$B$11,2,IF('Análisis de Riesgos'!G712='Tablas AR'!$B$12,3,"")))</f>
        <v/>
      </c>
      <c r="I712" s="26" t="str">
        <f t="shared" si="11"/>
        <v/>
      </c>
    </row>
    <row r="713" spans="2:9" x14ac:dyDescent="0.3">
      <c r="B713" s="27" t="str">
        <f>IFERROR(INDEX(Activos!$B$3:$C$16, MATCH(C713,Activos!$B$3:$B$16),2),"")</f>
        <v/>
      </c>
      <c r="C713" s="27"/>
      <c r="D713" s="27"/>
      <c r="E713" s="25"/>
      <c r="F713" s="26" t="str">
        <f>IF(E713='Tablas AR'!$B$4,1,IF('Análisis de Riesgos'!E713='Tablas AR'!$B$5,2,IF('Análisis de Riesgos'!E713='Tablas AR'!$B$6,3,"")))</f>
        <v/>
      </c>
      <c r="G713" s="25"/>
      <c r="H713" s="26" t="str">
        <f>IF(G713='Tablas AR'!$B$10,1,IF('Análisis de Riesgos'!G713='Tablas AR'!$B$11,2,IF('Análisis de Riesgos'!G713='Tablas AR'!$B$12,3,"")))</f>
        <v/>
      </c>
      <c r="I713" s="26" t="str">
        <f t="shared" si="11"/>
        <v/>
      </c>
    </row>
    <row r="714" spans="2:9" x14ac:dyDescent="0.3">
      <c r="B714" s="27" t="str">
        <f>IFERROR(INDEX(Activos!$B$3:$C$16, MATCH(C714,Activos!$B$3:$B$16),2),"")</f>
        <v/>
      </c>
      <c r="C714" s="27"/>
      <c r="D714" s="27"/>
      <c r="E714" s="25"/>
      <c r="F714" s="26" t="str">
        <f>IF(E714='Tablas AR'!$B$4,1,IF('Análisis de Riesgos'!E714='Tablas AR'!$B$5,2,IF('Análisis de Riesgos'!E714='Tablas AR'!$B$6,3,"")))</f>
        <v/>
      </c>
      <c r="G714" s="25"/>
      <c r="H714" s="26" t="str">
        <f>IF(G714='Tablas AR'!$B$10,1,IF('Análisis de Riesgos'!G714='Tablas AR'!$B$11,2,IF('Análisis de Riesgos'!G714='Tablas AR'!$B$12,3,"")))</f>
        <v/>
      </c>
      <c r="I714" s="26" t="str">
        <f t="shared" si="11"/>
        <v/>
      </c>
    </row>
    <row r="715" spans="2:9" x14ac:dyDescent="0.3">
      <c r="B715" s="27" t="str">
        <f>IFERROR(INDEX(Activos!$B$3:$C$16, MATCH(C715,Activos!$B$3:$B$16),2),"")</f>
        <v/>
      </c>
      <c r="C715" s="27"/>
      <c r="D715" s="27"/>
      <c r="E715" s="25"/>
      <c r="F715" s="26" t="str">
        <f>IF(E715='Tablas AR'!$B$4,1,IF('Análisis de Riesgos'!E715='Tablas AR'!$B$5,2,IF('Análisis de Riesgos'!E715='Tablas AR'!$B$6,3,"")))</f>
        <v/>
      </c>
      <c r="G715" s="25"/>
      <c r="H715" s="26" t="str">
        <f>IF(G715='Tablas AR'!$B$10,1,IF('Análisis de Riesgos'!G715='Tablas AR'!$B$11,2,IF('Análisis de Riesgos'!G715='Tablas AR'!$B$12,3,"")))</f>
        <v/>
      </c>
      <c r="I715" s="26" t="str">
        <f t="shared" si="11"/>
        <v/>
      </c>
    </row>
    <row r="716" spans="2:9" x14ac:dyDescent="0.3">
      <c r="B716" s="27" t="str">
        <f>IFERROR(INDEX(Activos!$B$3:$C$16, MATCH(C716,Activos!$B$3:$B$16),2),"")</f>
        <v/>
      </c>
      <c r="C716" s="27"/>
      <c r="D716" s="27"/>
      <c r="E716" s="25"/>
      <c r="F716" s="26" t="str">
        <f>IF(E716='Tablas AR'!$B$4,1,IF('Análisis de Riesgos'!E716='Tablas AR'!$B$5,2,IF('Análisis de Riesgos'!E716='Tablas AR'!$B$6,3,"")))</f>
        <v/>
      </c>
      <c r="G716" s="25"/>
      <c r="H716" s="26" t="str">
        <f>IF(G716='Tablas AR'!$B$10,1,IF('Análisis de Riesgos'!G716='Tablas AR'!$B$11,2,IF('Análisis de Riesgos'!G716='Tablas AR'!$B$12,3,"")))</f>
        <v/>
      </c>
      <c r="I716" s="26" t="str">
        <f t="shared" si="11"/>
        <v/>
      </c>
    </row>
    <row r="717" spans="2:9" x14ac:dyDescent="0.3">
      <c r="B717" s="27" t="str">
        <f>IFERROR(INDEX(Activos!$B$3:$C$16, MATCH(C717,Activos!$B$3:$B$16),2),"")</f>
        <v/>
      </c>
      <c r="C717" s="27"/>
      <c r="D717" s="27"/>
      <c r="E717" s="25"/>
      <c r="F717" s="26" t="str">
        <f>IF(E717='Tablas AR'!$B$4,1,IF('Análisis de Riesgos'!E717='Tablas AR'!$B$5,2,IF('Análisis de Riesgos'!E717='Tablas AR'!$B$6,3,"")))</f>
        <v/>
      </c>
      <c r="G717" s="25"/>
      <c r="H717" s="26" t="str">
        <f>IF(G717='Tablas AR'!$B$10,1,IF('Análisis de Riesgos'!G717='Tablas AR'!$B$11,2,IF('Análisis de Riesgos'!G717='Tablas AR'!$B$12,3,"")))</f>
        <v/>
      </c>
      <c r="I717" s="26" t="str">
        <f t="shared" si="11"/>
        <v/>
      </c>
    </row>
    <row r="718" spans="2:9" x14ac:dyDescent="0.3">
      <c r="B718" s="27" t="str">
        <f>IFERROR(INDEX(Activos!$B$3:$C$16, MATCH(C718,Activos!$B$3:$B$16),2),"")</f>
        <v/>
      </c>
      <c r="C718" s="27"/>
      <c r="D718" s="27"/>
      <c r="E718" s="25"/>
      <c r="F718" s="26" t="str">
        <f>IF(E718='Tablas AR'!$B$4,1,IF('Análisis de Riesgos'!E718='Tablas AR'!$B$5,2,IF('Análisis de Riesgos'!E718='Tablas AR'!$B$6,3,"")))</f>
        <v/>
      </c>
      <c r="G718" s="25"/>
      <c r="H718" s="26" t="str">
        <f>IF(G718='Tablas AR'!$B$10,1,IF('Análisis de Riesgos'!G718='Tablas AR'!$B$11,2,IF('Análisis de Riesgos'!G718='Tablas AR'!$B$12,3,"")))</f>
        <v/>
      </c>
      <c r="I718" s="26" t="str">
        <f t="shared" si="11"/>
        <v/>
      </c>
    </row>
    <row r="719" spans="2:9" x14ac:dyDescent="0.3">
      <c r="B719" s="27" t="str">
        <f>IFERROR(INDEX(Activos!$B$3:$C$16, MATCH(C719,Activos!$B$3:$B$16),2),"")</f>
        <v/>
      </c>
      <c r="C719" s="27"/>
      <c r="D719" s="27"/>
      <c r="E719" s="25"/>
      <c r="F719" s="26" t="str">
        <f>IF(E719='Tablas AR'!$B$4,1,IF('Análisis de Riesgos'!E719='Tablas AR'!$B$5,2,IF('Análisis de Riesgos'!E719='Tablas AR'!$B$6,3,"")))</f>
        <v/>
      </c>
      <c r="G719" s="25"/>
      <c r="H719" s="26" t="str">
        <f>IF(G719='Tablas AR'!$B$10,1,IF('Análisis de Riesgos'!G719='Tablas AR'!$B$11,2,IF('Análisis de Riesgos'!G719='Tablas AR'!$B$12,3,"")))</f>
        <v/>
      </c>
      <c r="I719" s="26" t="str">
        <f t="shared" si="11"/>
        <v/>
      </c>
    </row>
    <row r="720" spans="2:9" x14ac:dyDescent="0.3">
      <c r="B720" s="27" t="str">
        <f>IFERROR(INDEX(Activos!$B$3:$C$16, MATCH(C720,Activos!$B$3:$B$16),2),"")</f>
        <v/>
      </c>
      <c r="C720" s="27"/>
      <c r="D720" s="27"/>
      <c r="E720" s="25"/>
      <c r="F720" s="26" t="str">
        <f>IF(E720='Tablas AR'!$B$4,1,IF('Análisis de Riesgos'!E720='Tablas AR'!$B$5,2,IF('Análisis de Riesgos'!E720='Tablas AR'!$B$6,3,"")))</f>
        <v/>
      </c>
      <c r="G720" s="25"/>
      <c r="H720" s="26" t="str">
        <f>IF(G720='Tablas AR'!$B$10,1,IF('Análisis de Riesgos'!G720='Tablas AR'!$B$11,2,IF('Análisis de Riesgos'!G720='Tablas AR'!$B$12,3,"")))</f>
        <v/>
      </c>
      <c r="I720" s="26" t="str">
        <f t="shared" si="11"/>
        <v/>
      </c>
    </row>
    <row r="721" spans="2:9" x14ac:dyDescent="0.3">
      <c r="B721" s="27" t="str">
        <f>IFERROR(INDEX(Activos!$B$3:$C$16, MATCH(C721,Activos!$B$3:$B$16),2),"")</f>
        <v/>
      </c>
      <c r="C721" s="27"/>
      <c r="D721" s="27"/>
      <c r="E721" s="25"/>
      <c r="F721" s="26" t="str">
        <f>IF(E721='Tablas AR'!$B$4,1,IF('Análisis de Riesgos'!E721='Tablas AR'!$B$5,2,IF('Análisis de Riesgos'!E721='Tablas AR'!$B$6,3,"")))</f>
        <v/>
      </c>
      <c r="G721" s="25"/>
      <c r="H721" s="26" t="str">
        <f>IF(G721='Tablas AR'!$B$10,1,IF('Análisis de Riesgos'!G721='Tablas AR'!$B$11,2,IF('Análisis de Riesgos'!G721='Tablas AR'!$B$12,3,"")))</f>
        <v/>
      </c>
      <c r="I721" s="26" t="str">
        <f t="shared" si="11"/>
        <v/>
      </c>
    </row>
    <row r="722" spans="2:9" x14ac:dyDescent="0.3">
      <c r="B722" s="27" t="str">
        <f>IFERROR(INDEX(Activos!$B$3:$C$16, MATCH(C722,Activos!$B$3:$B$16),2),"")</f>
        <v/>
      </c>
      <c r="C722" s="27"/>
      <c r="D722" s="27"/>
      <c r="E722" s="25"/>
      <c r="F722" s="26" t="str">
        <f>IF(E722='Tablas AR'!$B$4,1,IF('Análisis de Riesgos'!E722='Tablas AR'!$B$5,2,IF('Análisis de Riesgos'!E722='Tablas AR'!$B$6,3,"")))</f>
        <v/>
      </c>
      <c r="G722" s="25"/>
      <c r="H722" s="26" t="str">
        <f>IF(G722='Tablas AR'!$B$10,1,IF('Análisis de Riesgos'!G722='Tablas AR'!$B$11,2,IF('Análisis de Riesgos'!G722='Tablas AR'!$B$12,3,"")))</f>
        <v/>
      </c>
      <c r="I722" s="26" t="str">
        <f t="shared" si="11"/>
        <v/>
      </c>
    </row>
    <row r="723" spans="2:9" x14ac:dyDescent="0.3">
      <c r="B723" s="27" t="str">
        <f>IFERROR(INDEX(Activos!$B$3:$C$16, MATCH(C723,Activos!$B$3:$B$16),2),"")</f>
        <v/>
      </c>
      <c r="C723" s="27"/>
      <c r="D723" s="27"/>
      <c r="E723" s="25"/>
      <c r="F723" s="26" t="str">
        <f>IF(E723='Tablas AR'!$B$4,1,IF('Análisis de Riesgos'!E723='Tablas AR'!$B$5,2,IF('Análisis de Riesgos'!E723='Tablas AR'!$B$6,3,"")))</f>
        <v/>
      </c>
      <c r="G723" s="25"/>
      <c r="H723" s="26" t="str">
        <f>IF(G723='Tablas AR'!$B$10,1,IF('Análisis de Riesgos'!G723='Tablas AR'!$B$11,2,IF('Análisis de Riesgos'!G723='Tablas AR'!$B$12,3,"")))</f>
        <v/>
      </c>
      <c r="I723" s="26" t="str">
        <f t="shared" si="11"/>
        <v/>
      </c>
    </row>
    <row r="724" spans="2:9" x14ac:dyDescent="0.3">
      <c r="B724" s="27" t="str">
        <f>IFERROR(INDEX(Activos!$B$3:$C$16, MATCH(C724,Activos!$B$3:$B$16),2),"")</f>
        <v/>
      </c>
      <c r="C724" s="27"/>
      <c r="D724" s="27"/>
      <c r="E724" s="25"/>
      <c r="F724" s="26" t="str">
        <f>IF(E724='Tablas AR'!$B$4,1,IF('Análisis de Riesgos'!E724='Tablas AR'!$B$5,2,IF('Análisis de Riesgos'!E724='Tablas AR'!$B$6,3,"")))</f>
        <v/>
      </c>
      <c r="G724" s="25"/>
      <c r="H724" s="26" t="str">
        <f>IF(G724='Tablas AR'!$B$10,1,IF('Análisis de Riesgos'!G724='Tablas AR'!$B$11,2,IF('Análisis de Riesgos'!G724='Tablas AR'!$B$12,3,"")))</f>
        <v/>
      </c>
      <c r="I724" s="26" t="str">
        <f t="shared" si="11"/>
        <v/>
      </c>
    </row>
    <row r="725" spans="2:9" x14ac:dyDescent="0.3">
      <c r="B725" s="27" t="str">
        <f>IFERROR(INDEX(Activos!$B$3:$C$16, MATCH(C725,Activos!$B$3:$B$16),2),"")</f>
        <v/>
      </c>
      <c r="C725" s="27"/>
      <c r="D725" s="27"/>
      <c r="E725" s="25"/>
      <c r="F725" s="26" t="str">
        <f>IF(E725='Tablas AR'!$B$4,1,IF('Análisis de Riesgos'!E725='Tablas AR'!$B$5,2,IF('Análisis de Riesgos'!E725='Tablas AR'!$B$6,3,"")))</f>
        <v/>
      </c>
      <c r="G725" s="25"/>
      <c r="H725" s="26" t="str">
        <f>IF(G725='Tablas AR'!$B$10,1,IF('Análisis de Riesgos'!G725='Tablas AR'!$B$11,2,IF('Análisis de Riesgos'!G725='Tablas AR'!$B$12,3,"")))</f>
        <v/>
      </c>
      <c r="I725" s="26" t="str">
        <f t="shared" si="11"/>
        <v/>
      </c>
    </row>
    <row r="726" spans="2:9" x14ac:dyDescent="0.3">
      <c r="B726" s="27" t="str">
        <f>IFERROR(INDEX(Activos!$B$3:$C$16, MATCH(C726,Activos!$B$3:$B$16),2),"")</f>
        <v/>
      </c>
      <c r="C726" s="27"/>
      <c r="D726" s="27"/>
      <c r="E726" s="25"/>
      <c r="F726" s="26" t="str">
        <f>IF(E726='Tablas AR'!$B$4,1,IF('Análisis de Riesgos'!E726='Tablas AR'!$B$5,2,IF('Análisis de Riesgos'!E726='Tablas AR'!$B$6,3,"")))</f>
        <v/>
      </c>
      <c r="G726" s="25"/>
      <c r="H726" s="26" t="str">
        <f>IF(G726='Tablas AR'!$B$10,1,IF('Análisis de Riesgos'!G726='Tablas AR'!$B$11,2,IF('Análisis de Riesgos'!G726='Tablas AR'!$B$12,3,"")))</f>
        <v/>
      </c>
      <c r="I726" s="26" t="str">
        <f t="shared" si="11"/>
        <v/>
      </c>
    </row>
    <row r="727" spans="2:9" x14ac:dyDescent="0.3">
      <c r="B727" s="27" t="str">
        <f>IFERROR(INDEX(Activos!$B$3:$C$16, MATCH(C727,Activos!$B$3:$B$16),2),"")</f>
        <v/>
      </c>
      <c r="C727" s="27"/>
      <c r="D727" s="27"/>
      <c r="E727" s="25"/>
      <c r="F727" s="26" t="str">
        <f>IF(E727='Tablas AR'!$B$4,1,IF('Análisis de Riesgos'!E727='Tablas AR'!$B$5,2,IF('Análisis de Riesgos'!E727='Tablas AR'!$B$6,3,"")))</f>
        <v/>
      </c>
      <c r="G727" s="25"/>
      <c r="H727" s="26" t="str">
        <f>IF(G727='Tablas AR'!$B$10,1,IF('Análisis de Riesgos'!G727='Tablas AR'!$B$11,2,IF('Análisis de Riesgos'!G727='Tablas AR'!$B$12,3,"")))</f>
        <v/>
      </c>
      <c r="I727" s="26" t="str">
        <f t="shared" si="11"/>
        <v/>
      </c>
    </row>
    <row r="728" spans="2:9" x14ac:dyDescent="0.3">
      <c r="B728" s="27" t="str">
        <f>IFERROR(INDEX(Activos!$B$3:$C$16, MATCH(C728,Activos!$B$3:$B$16),2),"")</f>
        <v/>
      </c>
      <c r="C728" s="27"/>
      <c r="D728" s="27"/>
      <c r="E728" s="25"/>
      <c r="F728" s="26" t="str">
        <f>IF(E728='Tablas AR'!$B$4,1,IF('Análisis de Riesgos'!E728='Tablas AR'!$B$5,2,IF('Análisis de Riesgos'!E728='Tablas AR'!$B$6,3,"")))</f>
        <v/>
      </c>
      <c r="G728" s="25"/>
      <c r="H728" s="26" t="str">
        <f>IF(G728='Tablas AR'!$B$10,1,IF('Análisis de Riesgos'!G728='Tablas AR'!$B$11,2,IF('Análisis de Riesgos'!G728='Tablas AR'!$B$12,3,"")))</f>
        <v/>
      </c>
      <c r="I728" s="26" t="str">
        <f t="shared" si="11"/>
        <v/>
      </c>
    </row>
    <row r="729" spans="2:9" x14ac:dyDescent="0.3">
      <c r="B729" s="27" t="str">
        <f>IFERROR(INDEX(Activos!$B$3:$C$16, MATCH(C729,Activos!$B$3:$B$16),2),"")</f>
        <v/>
      </c>
      <c r="C729" s="27"/>
      <c r="D729" s="27"/>
      <c r="E729" s="25"/>
      <c r="F729" s="26" t="str">
        <f>IF(E729='Tablas AR'!$B$4,1,IF('Análisis de Riesgos'!E729='Tablas AR'!$B$5,2,IF('Análisis de Riesgos'!E729='Tablas AR'!$B$6,3,"")))</f>
        <v/>
      </c>
      <c r="G729" s="25"/>
      <c r="H729" s="26" t="str">
        <f>IF(G729='Tablas AR'!$B$10,1,IF('Análisis de Riesgos'!G729='Tablas AR'!$B$11,2,IF('Análisis de Riesgos'!G729='Tablas AR'!$B$12,3,"")))</f>
        <v/>
      </c>
      <c r="I729" s="26" t="str">
        <f t="shared" si="11"/>
        <v/>
      </c>
    </row>
    <row r="730" spans="2:9" x14ac:dyDescent="0.3">
      <c r="B730" s="27" t="str">
        <f>IFERROR(INDEX(Activos!$B$3:$C$16, MATCH(C730,Activos!$B$3:$B$16),2),"")</f>
        <v/>
      </c>
      <c r="C730" s="27"/>
      <c r="D730" s="27"/>
      <c r="E730" s="25"/>
      <c r="F730" s="26" t="str">
        <f>IF(E730='Tablas AR'!$B$4,1,IF('Análisis de Riesgos'!E730='Tablas AR'!$B$5,2,IF('Análisis de Riesgos'!E730='Tablas AR'!$B$6,3,"")))</f>
        <v/>
      </c>
      <c r="G730" s="25"/>
      <c r="H730" s="26" t="str">
        <f>IF(G730='Tablas AR'!$B$10,1,IF('Análisis de Riesgos'!G730='Tablas AR'!$B$11,2,IF('Análisis de Riesgos'!G730='Tablas AR'!$B$12,3,"")))</f>
        <v/>
      </c>
      <c r="I730" s="26" t="str">
        <f t="shared" si="11"/>
        <v/>
      </c>
    </row>
    <row r="731" spans="2:9" x14ac:dyDescent="0.3">
      <c r="B731" s="27" t="str">
        <f>IFERROR(INDEX(Activos!$B$3:$C$16, MATCH(C731,Activos!$B$3:$B$16),2),"")</f>
        <v/>
      </c>
      <c r="C731" s="27"/>
      <c r="D731" s="27"/>
      <c r="E731" s="25"/>
      <c r="F731" s="26" t="str">
        <f>IF(E731='Tablas AR'!$B$4,1,IF('Análisis de Riesgos'!E731='Tablas AR'!$B$5,2,IF('Análisis de Riesgos'!E731='Tablas AR'!$B$6,3,"")))</f>
        <v/>
      </c>
      <c r="G731" s="25"/>
      <c r="H731" s="26" t="str">
        <f>IF(G731='Tablas AR'!$B$10,1,IF('Análisis de Riesgos'!G731='Tablas AR'!$B$11,2,IF('Análisis de Riesgos'!G731='Tablas AR'!$B$12,3,"")))</f>
        <v/>
      </c>
      <c r="I731" s="26" t="str">
        <f t="shared" si="11"/>
        <v/>
      </c>
    </row>
    <row r="732" spans="2:9" x14ac:dyDescent="0.3">
      <c r="B732" s="27" t="str">
        <f>IFERROR(INDEX(Activos!$B$3:$C$16, MATCH(C732,Activos!$B$3:$B$16),2),"")</f>
        <v/>
      </c>
      <c r="C732" s="27"/>
      <c r="D732" s="27"/>
      <c r="E732" s="25"/>
      <c r="F732" s="26" t="str">
        <f>IF(E732='Tablas AR'!$B$4,1,IF('Análisis de Riesgos'!E732='Tablas AR'!$B$5,2,IF('Análisis de Riesgos'!E732='Tablas AR'!$B$6,3,"")))</f>
        <v/>
      </c>
      <c r="G732" s="25"/>
      <c r="H732" s="26" t="str">
        <f>IF(G732='Tablas AR'!$B$10,1,IF('Análisis de Riesgos'!G732='Tablas AR'!$B$11,2,IF('Análisis de Riesgos'!G732='Tablas AR'!$B$12,3,"")))</f>
        <v/>
      </c>
      <c r="I732" s="26" t="str">
        <f t="shared" si="11"/>
        <v/>
      </c>
    </row>
    <row r="733" spans="2:9" x14ac:dyDescent="0.3">
      <c r="B733" s="27" t="str">
        <f>IFERROR(INDEX(Activos!$B$3:$C$16, MATCH(C733,Activos!$B$3:$B$16),2),"")</f>
        <v/>
      </c>
      <c r="C733" s="27"/>
      <c r="D733" s="27"/>
      <c r="E733" s="25"/>
      <c r="F733" s="26" t="str">
        <f>IF(E733='Tablas AR'!$B$4,1,IF('Análisis de Riesgos'!E733='Tablas AR'!$B$5,2,IF('Análisis de Riesgos'!E733='Tablas AR'!$B$6,3,"")))</f>
        <v/>
      </c>
      <c r="G733" s="25"/>
      <c r="H733" s="26" t="str">
        <f>IF(G733='Tablas AR'!$B$10,1,IF('Análisis de Riesgos'!G733='Tablas AR'!$B$11,2,IF('Análisis de Riesgos'!G733='Tablas AR'!$B$12,3,"")))</f>
        <v/>
      </c>
      <c r="I733" s="26" t="str">
        <f t="shared" si="11"/>
        <v/>
      </c>
    </row>
    <row r="734" spans="2:9" x14ac:dyDescent="0.3">
      <c r="B734" s="27" t="str">
        <f>IFERROR(INDEX(Activos!$B$3:$C$16, MATCH(C734,Activos!$B$3:$B$16),2),"")</f>
        <v/>
      </c>
      <c r="C734" s="27"/>
      <c r="D734" s="27"/>
      <c r="E734" s="25"/>
      <c r="F734" s="26" t="str">
        <f>IF(E734='Tablas AR'!$B$4,1,IF('Análisis de Riesgos'!E734='Tablas AR'!$B$5,2,IF('Análisis de Riesgos'!E734='Tablas AR'!$B$6,3,"")))</f>
        <v/>
      </c>
      <c r="G734" s="25"/>
      <c r="H734" s="26" t="str">
        <f>IF(G734='Tablas AR'!$B$10,1,IF('Análisis de Riesgos'!G734='Tablas AR'!$B$11,2,IF('Análisis de Riesgos'!G734='Tablas AR'!$B$12,3,"")))</f>
        <v/>
      </c>
      <c r="I734" s="26" t="str">
        <f t="shared" si="11"/>
        <v/>
      </c>
    </row>
    <row r="735" spans="2:9" x14ac:dyDescent="0.3">
      <c r="B735" s="27" t="str">
        <f>IFERROR(INDEX(Activos!$B$3:$C$16, MATCH(C735,Activos!$B$3:$B$16),2),"")</f>
        <v/>
      </c>
      <c r="C735" s="27"/>
      <c r="D735" s="27"/>
      <c r="E735" s="25"/>
      <c r="F735" s="26" t="str">
        <f>IF(E735='Tablas AR'!$B$4,1,IF('Análisis de Riesgos'!E735='Tablas AR'!$B$5,2,IF('Análisis de Riesgos'!E735='Tablas AR'!$B$6,3,"")))</f>
        <v/>
      </c>
      <c r="G735" s="25"/>
      <c r="H735" s="26" t="str">
        <f>IF(G735='Tablas AR'!$B$10,1,IF('Análisis de Riesgos'!G735='Tablas AR'!$B$11,2,IF('Análisis de Riesgos'!G735='Tablas AR'!$B$12,3,"")))</f>
        <v/>
      </c>
      <c r="I735" s="26" t="str">
        <f t="shared" si="11"/>
        <v/>
      </c>
    </row>
    <row r="736" spans="2:9" x14ac:dyDescent="0.3">
      <c r="B736" s="27" t="str">
        <f>IFERROR(INDEX(Activos!$B$3:$C$16, MATCH(C736,Activos!$B$3:$B$16),2),"")</f>
        <v/>
      </c>
      <c r="C736" s="27"/>
      <c r="D736" s="27"/>
      <c r="E736" s="25"/>
      <c r="F736" s="26" t="str">
        <f>IF(E736='Tablas AR'!$B$4,1,IF('Análisis de Riesgos'!E736='Tablas AR'!$B$5,2,IF('Análisis de Riesgos'!E736='Tablas AR'!$B$6,3,"")))</f>
        <v/>
      </c>
      <c r="G736" s="25"/>
      <c r="H736" s="26" t="str">
        <f>IF(G736='Tablas AR'!$B$10,1,IF('Análisis de Riesgos'!G736='Tablas AR'!$B$11,2,IF('Análisis de Riesgos'!G736='Tablas AR'!$B$12,3,"")))</f>
        <v/>
      </c>
      <c r="I736" s="26" t="str">
        <f t="shared" si="11"/>
        <v/>
      </c>
    </row>
    <row r="737" spans="2:9" x14ac:dyDescent="0.3">
      <c r="B737" s="27" t="str">
        <f>IFERROR(INDEX(Activos!$B$3:$C$16, MATCH(C737,Activos!$B$3:$B$16),2),"")</f>
        <v/>
      </c>
      <c r="C737" s="27"/>
      <c r="D737" s="27"/>
      <c r="E737" s="25"/>
      <c r="F737" s="26" t="str">
        <f>IF(E737='Tablas AR'!$B$4,1,IF('Análisis de Riesgos'!E737='Tablas AR'!$B$5,2,IF('Análisis de Riesgos'!E737='Tablas AR'!$B$6,3,"")))</f>
        <v/>
      </c>
      <c r="G737" s="25"/>
      <c r="H737" s="26" t="str">
        <f>IF(G737='Tablas AR'!$B$10,1,IF('Análisis de Riesgos'!G737='Tablas AR'!$B$11,2,IF('Análisis de Riesgos'!G737='Tablas AR'!$B$12,3,"")))</f>
        <v/>
      </c>
      <c r="I737" s="26" t="str">
        <f t="shared" si="11"/>
        <v/>
      </c>
    </row>
    <row r="738" spans="2:9" x14ac:dyDescent="0.3">
      <c r="B738" s="27" t="str">
        <f>IFERROR(INDEX(Activos!$B$3:$C$16, MATCH(C738,Activos!$B$3:$B$16),2),"")</f>
        <v/>
      </c>
      <c r="C738" s="27"/>
      <c r="D738" s="27"/>
      <c r="E738" s="25"/>
      <c r="F738" s="26" t="str">
        <f>IF(E738='Tablas AR'!$B$4,1,IF('Análisis de Riesgos'!E738='Tablas AR'!$B$5,2,IF('Análisis de Riesgos'!E738='Tablas AR'!$B$6,3,"")))</f>
        <v/>
      </c>
      <c r="G738" s="25"/>
      <c r="H738" s="26" t="str">
        <f>IF(G738='Tablas AR'!$B$10,1,IF('Análisis de Riesgos'!G738='Tablas AR'!$B$11,2,IF('Análisis de Riesgos'!G738='Tablas AR'!$B$12,3,"")))</f>
        <v/>
      </c>
      <c r="I738" s="26" t="str">
        <f t="shared" si="11"/>
        <v/>
      </c>
    </row>
    <row r="739" spans="2:9" x14ac:dyDescent="0.3">
      <c r="B739" s="27" t="str">
        <f>IFERROR(INDEX(Activos!$B$3:$C$16, MATCH(C739,Activos!$B$3:$B$16),2),"")</f>
        <v/>
      </c>
      <c r="C739" s="27"/>
      <c r="D739" s="27"/>
      <c r="E739" s="25"/>
      <c r="F739" s="26" t="str">
        <f>IF(E739='Tablas AR'!$B$4,1,IF('Análisis de Riesgos'!E739='Tablas AR'!$B$5,2,IF('Análisis de Riesgos'!E739='Tablas AR'!$B$6,3,"")))</f>
        <v/>
      </c>
      <c r="G739" s="25"/>
      <c r="H739" s="26" t="str">
        <f>IF(G739='Tablas AR'!$B$10,1,IF('Análisis de Riesgos'!G739='Tablas AR'!$B$11,2,IF('Análisis de Riesgos'!G739='Tablas AR'!$B$12,3,"")))</f>
        <v/>
      </c>
      <c r="I739" s="26" t="str">
        <f t="shared" si="11"/>
        <v/>
      </c>
    </row>
    <row r="740" spans="2:9" x14ac:dyDescent="0.3">
      <c r="B740" s="27" t="str">
        <f>IFERROR(INDEX(Activos!$B$3:$C$16, MATCH(C740,Activos!$B$3:$B$16),2),"")</f>
        <v/>
      </c>
      <c r="C740" s="27"/>
      <c r="D740" s="27"/>
      <c r="E740" s="25"/>
      <c r="F740" s="26" t="str">
        <f>IF(E740='Tablas AR'!$B$4,1,IF('Análisis de Riesgos'!E740='Tablas AR'!$B$5,2,IF('Análisis de Riesgos'!E740='Tablas AR'!$B$6,3,"")))</f>
        <v/>
      </c>
      <c r="G740" s="25"/>
      <c r="H740" s="26" t="str">
        <f>IF(G740='Tablas AR'!$B$10,1,IF('Análisis de Riesgos'!G740='Tablas AR'!$B$11,2,IF('Análisis de Riesgos'!G740='Tablas AR'!$B$12,3,"")))</f>
        <v/>
      </c>
      <c r="I740" s="26" t="str">
        <f t="shared" si="11"/>
        <v/>
      </c>
    </row>
    <row r="741" spans="2:9" x14ac:dyDescent="0.3">
      <c r="B741" s="27" t="str">
        <f>IFERROR(INDEX(Activos!$B$3:$C$16, MATCH(C741,Activos!$B$3:$B$16),2),"")</f>
        <v/>
      </c>
      <c r="C741" s="27"/>
      <c r="D741" s="27"/>
      <c r="E741" s="25"/>
      <c r="F741" s="26" t="str">
        <f>IF(E741='Tablas AR'!$B$4,1,IF('Análisis de Riesgos'!E741='Tablas AR'!$B$5,2,IF('Análisis de Riesgos'!E741='Tablas AR'!$B$6,3,"")))</f>
        <v/>
      </c>
      <c r="G741" s="25"/>
      <c r="H741" s="26" t="str">
        <f>IF(G741='Tablas AR'!$B$10,1,IF('Análisis de Riesgos'!G741='Tablas AR'!$B$11,2,IF('Análisis de Riesgos'!G741='Tablas AR'!$B$12,3,"")))</f>
        <v/>
      </c>
      <c r="I741" s="26" t="str">
        <f t="shared" si="11"/>
        <v/>
      </c>
    </row>
    <row r="742" spans="2:9" x14ac:dyDescent="0.3">
      <c r="B742" s="27" t="str">
        <f>IFERROR(INDEX(Activos!$B$3:$C$16, MATCH(C742,Activos!$B$3:$B$16),2),"")</f>
        <v/>
      </c>
      <c r="C742" s="27"/>
      <c r="D742" s="27"/>
      <c r="E742" s="25"/>
      <c r="F742" s="26" t="str">
        <f>IF(E742='Tablas AR'!$B$4,1,IF('Análisis de Riesgos'!E742='Tablas AR'!$B$5,2,IF('Análisis de Riesgos'!E742='Tablas AR'!$B$6,3,"")))</f>
        <v/>
      </c>
      <c r="G742" s="25"/>
      <c r="H742" s="26" t="str">
        <f>IF(G742='Tablas AR'!$B$10,1,IF('Análisis de Riesgos'!G742='Tablas AR'!$B$11,2,IF('Análisis de Riesgos'!G742='Tablas AR'!$B$12,3,"")))</f>
        <v/>
      </c>
      <c r="I742" s="26" t="str">
        <f t="shared" si="11"/>
        <v/>
      </c>
    </row>
    <row r="743" spans="2:9" x14ac:dyDescent="0.3">
      <c r="B743" s="27" t="str">
        <f>IFERROR(INDEX(Activos!$B$3:$C$16, MATCH(C743,Activos!$B$3:$B$16),2),"")</f>
        <v/>
      </c>
      <c r="C743" s="27"/>
      <c r="D743" s="27"/>
      <c r="E743" s="25"/>
      <c r="F743" s="26" t="str">
        <f>IF(E743='Tablas AR'!$B$4,1,IF('Análisis de Riesgos'!E743='Tablas AR'!$B$5,2,IF('Análisis de Riesgos'!E743='Tablas AR'!$B$6,3,"")))</f>
        <v/>
      </c>
      <c r="G743" s="25"/>
      <c r="H743" s="26" t="str">
        <f>IF(G743='Tablas AR'!$B$10,1,IF('Análisis de Riesgos'!G743='Tablas AR'!$B$11,2,IF('Análisis de Riesgos'!G743='Tablas AR'!$B$12,3,"")))</f>
        <v/>
      </c>
      <c r="I743" s="26" t="str">
        <f t="shared" si="11"/>
        <v/>
      </c>
    </row>
    <row r="744" spans="2:9" x14ac:dyDescent="0.3">
      <c r="B744" s="27" t="str">
        <f>IFERROR(INDEX(Activos!$B$3:$C$16, MATCH(C744,Activos!$B$3:$B$16),2),"")</f>
        <v/>
      </c>
      <c r="C744" s="27"/>
      <c r="D744" s="27"/>
      <c r="E744" s="25"/>
      <c r="F744" s="26" t="str">
        <f>IF(E744='Tablas AR'!$B$4,1,IF('Análisis de Riesgos'!E744='Tablas AR'!$B$5,2,IF('Análisis de Riesgos'!E744='Tablas AR'!$B$6,3,"")))</f>
        <v/>
      </c>
      <c r="G744" s="25"/>
      <c r="H744" s="26" t="str">
        <f>IF(G744='Tablas AR'!$B$10,1,IF('Análisis de Riesgos'!G744='Tablas AR'!$B$11,2,IF('Análisis de Riesgos'!G744='Tablas AR'!$B$12,3,"")))</f>
        <v/>
      </c>
      <c r="I744" s="26" t="str">
        <f t="shared" si="11"/>
        <v/>
      </c>
    </row>
    <row r="745" spans="2:9" x14ac:dyDescent="0.3">
      <c r="B745" s="27" t="str">
        <f>IFERROR(INDEX(Activos!$B$3:$C$16, MATCH(C745,Activos!$B$3:$B$16),2),"")</f>
        <v/>
      </c>
      <c r="C745" s="27"/>
      <c r="D745" s="27"/>
      <c r="E745" s="25"/>
      <c r="F745" s="26" t="str">
        <f>IF(E745='Tablas AR'!$B$4,1,IF('Análisis de Riesgos'!E745='Tablas AR'!$B$5,2,IF('Análisis de Riesgos'!E745='Tablas AR'!$B$6,3,"")))</f>
        <v/>
      </c>
      <c r="G745" s="25"/>
      <c r="H745" s="26" t="str">
        <f>IF(G745='Tablas AR'!$B$10,1,IF('Análisis de Riesgos'!G745='Tablas AR'!$B$11,2,IF('Análisis de Riesgos'!G745='Tablas AR'!$B$12,3,"")))</f>
        <v/>
      </c>
      <c r="I745" s="26" t="str">
        <f t="shared" si="11"/>
        <v/>
      </c>
    </row>
    <row r="746" spans="2:9" x14ac:dyDescent="0.3">
      <c r="B746" s="27" t="str">
        <f>IFERROR(INDEX(Activos!$B$3:$C$16, MATCH(C746,Activos!$B$3:$B$16),2),"")</f>
        <v/>
      </c>
      <c r="C746" s="27"/>
      <c r="D746" s="27"/>
      <c r="E746" s="25"/>
      <c r="F746" s="26" t="str">
        <f>IF(E746='Tablas AR'!$B$4,1,IF('Análisis de Riesgos'!E746='Tablas AR'!$B$5,2,IF('Análisis de Riesgos'!E746='Tablas AR'!$B$6,3,"")))</f>
        <v/>
      </c>
      <c r="G746" s="25"/>
      <c r="H746" s="26" t="str">
        <f>IF(G746='Tablas AR'!$B$10,1,IF('Análisis de Riesgos'!G746='Tablas AR'!$B$11,2,IF('Análisis de Riesgos'!G746='Tablas AR'!$B$12,3,"")))</f>
        <v/>
      </c>
      <c r="I746" s="26" t="str">
        <f t="shared" si="11"/>
        <v/>
      </c>
    </row>
    <row r="747" spans="2:9" x14ac:dyDescent="0.3">
      <c r="B747" s="27" t="str">
        <f>IFERROR(INDEX(Activos!$B$3:$C$16, MATCH(C747,Activos!$B$3:$B$16),2),"")</f>
        <v/>
      </c>
      <c r="C747" s="27"/>
      <c r="D747" s="27"/>
      <c r="E747" s="25"/>
      <c r="F747" s="26" t="str">
        <f>IF(E747='Tablas AR'!$B$4,1,IF('Análisis de Riesgos'!E747='Tablas AR'!$B$5,2,IF('Análisis de Riesgos'!E747='Tablas AR'!$B$6,3,"")))</f>
        <v/>
      </c>
      <c r="G747" s="25"/>
      <c r="H747" s="26" t="str">
        <f>IF(G747='Tablas AR'!$B$10,1,IF('Análisis de Riesgos'!G747='Tablas AR'!$B$11,2,IF('Análisis de Riesgos'!G747='Tablas AR'!$B$12,3,"")))</f>
        <v/>
      </c>
      <c r="I747" s="26" t="str">
        <f t="shared" si="11"/>
        <v/>
      </c>
    </row>
    <row r="748" spans="2:9" x14ac:dyDescent="0.3">
      <c r="B748" s="27" t="str">
        <f>IFERROR(INDEX(Activos!$B$3:$C$16, MATCH(C748,Activos!$B$3:$B$16),2),"")</f>
        <v/>
      </c>
      <c r="C748" s="27"/>
      <c r="D748" s="27"/>
      <c r="E748" s="25"/>
      <c r="F748" s="26" t="str">
        <f>IF(E748='Tablas AR'!$B$4,1,IF('Análisis de Riesgos'!E748='Tablas AR'!$B$5,2,IF('Análisis de Riesgos'!E748='Tablas AR'!$B$6,3,"")))</f>
        <v/>
      </c>
      <c r="G748" s="25"/>
      <c r="H748" s="26" t="str">
        <f>IF(G748='Tablas AR'!$B$10,1,IF('Análisis de Riesgos'!G748='Tablas AR'!$B$11,2,IF('Análisis de Riesgos'!G748='Tablas AR'!$B$12,3,"")))</f>
        <v/>
      </c>
      <c r="I748" s="26" t="str">
        <f t="shared" si="11"/>
        <v/>
      </c>
    </row>
    <row r="749" spans="2:9" x14ac:dyDescent="0.3">
      <c r="B749" s="27" t="str">
        <f>IFERROR(INDEX(Activos!$B$3:$C$16, MATCH(C749,Activos!$B$3:$B$16),2),"")</f>
        <v/>
      </c>
      <c r="C749" s="27"/>
      <c r="D749" s="27"/>
      <c r="E749" s="25"/>
      <c r="F749" s="26" t="str">
        <f>IF(E749='Tablas AR'!$B$4,1,IF('Análisis de Riesgos'!E749='Tablas AR'!$B$5,2,IF('Análisis de Riesgos'!E749='Tablas AR'!$B$6,3,"")))</f>
        <v/>
      </c>
      <c r="G749" s="25"/>
      <c r="H749" s="26" t="str">
        <f>IF(G749='Tablas AR'!$B$10,1,IF('Análisis de Riesgos'!G749='Tablas AR'!$B$11,2,IF('Análisis de Riesgos'!G749='Tablas AR'!$B$12,3,"")))</f>
        <v/>
      </c>
      <c r="I749" s="26" t="str">
        <f t="shared" si="11"/>
        <v/>
      </c>
    </row>
    <row r="750" spans="2:9" x14ac:dyDescent="0.3">
      <c r="B750" s="27" t="str">
        <f>IFERROR(INDEX(Activos!$B$3:$C$16, MATCH(C750,Activos!$B$3:$B$16),2),"")</f>
        <v/>
      </c>
      <c r="C750" s="27"/>
      <c r="D750" s="27"/>
      <c r="E750" s="25"/>
      <c r="F750" s="26" t="str">
        <f>IF(E750='Tablas AR'!$B$4,1,IF('Análisis de Riesgos'!E750='Tablas AR'!$B$5,2,IF('Análisis de Riesgos'!E750='Tablas AR'!$B$6,3,"")))</f>
        <v/>
      </c>
      <c r="G750" s="25"/>
      <c r="H750" s="26" t="str">
        <f>IF(G750='Tablas AR'!$B$10,1,IF('Análisis de Riesgos'!G750='Tablas AR'!$B$11,2,IF('Análisis de Riesgos'!G750='Tablas AR'!$B$12,3,"")))</f>
        <v/>
      </c>
      <c r="I750" s="26" t="str">
        <f t="shared" si="11"/>
        <v/>
      </c>
    </row>
    <row r="751" spans="2:9" x14ac:dyDescent="0.3">
      <c r="B751" s="27" t="str">
        <f>IFERROR(INDEX(Activos!$B$3:$C$16, MATCH(C751,Activos!$B$3:$B$16),2),"")</f>
        <v/>
      </c>
      <c r="C751" s="27"/>
      <c r="D751" s="27"/>
      <c r="E751" s="25"/>
      <c r="F751" s="26" t="str">
        <f>IF(E751='Tablas AR'!$B$4,1,IF('Análisis de Riesgos'!E751='Tablas AR'!$B$5,2,IF('Análisis de Riesgos'!E751='Tablas AR'!$B$6,3,"")))</f>
        <v/>
      </c>
      <c r="G751" s="25"/>
      <c r="H751" s="26" t="str">
        <f>IF(G751='Tablas AR'!$B$10,1,IF('Análisis de Riesgos'!G751='Tablas AR'!$B$11,2,IF('Análisis de Riesgos'!G751='Tablas AR'!$B$12,3,"")))</f>
        <v/>
      </c>
      <c r="I751" s="26" t="str">
        <f t="shared" si="11"/>
        <v/>
      </c>
    </row>
    <row r="752" spans="2:9" x14ac:dyDescent="0.3">
      <c r="B752" s="27" t="str">
        <f>IFERROR(INDEX(Activos!$B$3:$C$16, MATCH(C752,Activos!$B$3:$B$16),2),"")</f>
        <v/>
      </c>
      <c r="C752" s="27"/>
      <c r="D752" s="27"/>
      <c r="E752" s="25"/>
      <c r="F752" s="26" t="str">
        <f>IF(E752='Tablas AR'!$B$4,1,IF('Análisis de Riesgos'!E752='Tablas AR'!$B$5,2,IF('Análisis de Riesgos'!E752='Tablas AR'!$B$6,3,"")))</f>
        <v/>
      </c>
      <c r="G752" s="25"/>
      <c r="H752" s="26" t="str">
        <f>IF(G752='Tablas AR'!$B$10,1,IF('Análisis de Riesgos'!G752='Tablas AR'!$B$11,2,IF('Análisis de Riesgos'!G752='Tablas AR'!$B$12,3,"")))</f>
        <v/>
      </c>
      <c r="I752" s="26" t="str">
        <f t="shared" si="11"/>
        <v/>
      </c>
    </row>
    <row r="753" spans="2:9" x14ac:dyDescent="0.3">
      <c r="B753" s="27" t="str">
        <f>IFERROR(INDEX(Activos!$B$3:$C$16, MATCH(C753,Activos!$B$3:$B$16),2),"")</f>
        <v/>
      </c>
      <c r="C753" s="27"/>
      <c r="D753" s="27"/>
      <c r="E753" s="25"/>
      <c r="F753" s="26" t="str">
        <f>IF(E753='Tablas AR'!$B$4,1,IF('Análisis de Riesgos'!E753='Tablas AR'!$B$5,2,IF('Análisis de Riesgos'!E753='Tablas AR'!$B$6,3,"")))</f>
        <v/>
      </c>
      <c r="G753" s="25"/>
      <c r="H753" s="26" t="str">
        <f>IF(G753='Tablas AR'!$B$10,1,IF('Análisis de Riesgos'!G753='Tablas AR'!$B$11,2,IF('Análisis de Riesgos'!G753='Tablas AR'!$B$12,3,"")))</f>
        <v/>
      </c>
      <c r="I753" s="26" t="str">
        <f t="shared" si="11"/>
        <v/>
      </c>
    </row>
    <row r="754" spans="2:9" x14ac:dyDescent="0.3">
      <c r="B754" s="27" t="str">
        <f>IFERROR(INDEX(Activos!$B$3:$C$16, MATCH(C754,Activos!$B$3:$B$16),2),"")</f>
        <v/>
      </c>
      <c r="C754" s="27"/>
      <c r="D754" s="27"/>
      <c r="E754" s="25"/>
      <c r="F754" s="26" t="str">
        <f>IF(E754='Tablas AR'!$B$4,1,IF('Análisis de Riesgos'!E754='Tablas AR'!$B$5,2,IF('Análisis de Riesgos'!E754='Tablas AR'!$B$6,3,"")))</f>
        <v/>
      </c>
      <c r="G754" s="25"/>
      <c r="H754" s="26" t="str">
        <f>IF(G754='Tablas AR'!$B$10,1,IF('Análisis de Riesgos'!G754='Tablas AR'!$B$11,2,IF('Análisis de Riesgos'!G754='Tablas AR'!$B$12,3,"")))</f>
        <v/>
      </c>
      <c r="I754" s="26" t="str">
        <f t="shared" si="11"/>
        <v/>
      </c>
    </row>
    <row r="755" spans="2:9" x14ac:dyDescent="0.3">
      <c r="B755" s="27" t="str">
        <f>IFERROR(INDEX(Activos!$B$3:$C$16, MATCH(C755,Activos!$B$3:$B$16),2),"")</f>
        <v/>
      </c>
      <c r="C755" s="27"/>
      <c r="D755" s="27"/>
      <c r="E755" s="25"/>
      <c r="F755" s="26" t="str">
        <f>IF(E755='Tablas AR'!$B$4,1,IF('Análisis de Riesgos'!E755='Tablas AR'!$B$5,2,IF('Análisis de Riesgos'!E755='Tablas AR'!$B$6,3,"")))</f>
        <v/>
      </c>
      <c r="G755" s="25"/>
      <c r="H755" s="26" t="str">
        <f>IF(G755='Tablas AR'!$B$10,1,IF('Análisis de Riesgos'!G755='Tablas AR'!$B$11,2,IF('Análisis de Riesgos'!G755='Tablas AR'!$B$12,3,"")))</f>
        <v/>
      </c>
      <c r="I755" s="26" t="str">
        <f t="shared" si="11"/>
        <v/>
      </c>
    </row>
    <row r="756" spans="2:9" x14ac:dyDescent="0.3">
      <c r="B756" s="27" t="str">
        <f>IFERROR(INDEX(Activos!$B$3:$C$16, MATCH(C756,Activos!$B$3:$B$16),2),"")</f>
        <v/>
      </c>
      <c r="C756" s="27"/>
      <c r="D756" s="27"/>
      <c r="E756" s="25"/>
      <c r="F756" s="26" t="str">
        <f>IF(E756='Tablas AR'!$B$4,1,IF('Análisis de Riesgos'!E756='Tablas AR'!$B$5,2,IF('Análisis de Riesgos'!E756='Tablas AR'!$B$6,3,"")))</f>
        <v/>
      </c>
      <c r="G756" s="25"/>
      <c r="H756" s="26" t="str">
        <f>IF(G756='Tablas AR'!$B$10,1,IF('Análisis de Riesgos'!G756='Tablas AR'!$B$11,2,IF('Análisis de Riesgos'!G756='Tablas AR'!$B$12,3,"")))</f>
        <v/>
      </c>
      <c r="I756" s="26" t="str">
        <f t="shared" si="11"/>
        <v/>
      </c>
    </row>
    <row r="757" spans="2:9" x14ac:dyDescent="0.3">
      <c r="B757" s="27" t="str">
        <f>IFERROR(INDEX(Activos!$B$3:$C$16, MATCH(C757,Activos!$B$3:$B$16),2),"")</f>
        <v/>
      </c>
      <c r="C757" s="27"/>
      <c r="D757" s="27"/>
      <c r="E757" s="25"/>
      <c r="F757" s="26" t="str">
        <f>IF(E757='Tablas AR'!$B$4,1,IF('Análisis de Riesgos'!E757='Tablas AR'!$B$5,2,IF('Análisis de Riesgos'!E757='Tablas AR'!$B$6,3,"")))</f>
        <v/>
      </c>
      <c r="G757" s="25"/>
      <c r="H757" s="26" t="str">
        <f>IF(G757='Tablas AR'!$B$10,1,IF('Análisis de Riesgos'!G757='Tablas AR'!$B$11,2,IF('Análisis de Riesgos'!G757='Tablas AR'!$B$12,3,"")))</f>
        <v/>
      </c>
      <c r="I757" s="26" t="str">
        <f t="shared" si="11"/>
        <v/>
      </c>
    </row>
    <row r="758" spans="2:9" x14ac:dyDescent="0.3">
      <c r="B758" s="27" t="str">
        <f>IFERROR(INDEX(Activos!$B$3:$C$16, MATCH(C758,Activos!$B$3:$B$16),2),"")</f>
        <v/>
      </c>
      <c r="C758" s="27"/>
      <c r="D758" s="27"/>
      <c r="E758" s="25"/>
      <c r="F758" s="26" t="str">
        <f>IF(E758='Tablas AR'!$B$4,1,IF('Análisis de Riesgos'!E758='Tablas AR'!$B$5,2,IF('Análisis de Riesgos'!E758='Tablas AR'!$B$6,3,"")))</f>
        <v/>
      </c>
      <c r="G758" s="25"/>
      <c r="H758" s="26" t="str">
        <f>IF(G758='Tablas AR'!$B$10,1,IF('Análisis de Riesgos'!G758='Tablas AR'!$B$11,2,IF('Análisis de Riesgos'!G758='Tablas AR'!$B$12,3,"")))</f>
        <v/>
      </c>
      <c r="I758" s="26" t="str">
        <f t="shared" si="11"/>
        <v/>
      </c>
    </row>
    <row r="759" spans="2:9" x14ac:dyDescent="0.3">
      <c r="B759" s="27" t="str">
        <f>IFERROR(INDEX(Activos!$B$3:$C$16, MATCH(C759,Activos!$B$3:$B$16),2),"")</f>
        <v/>
      </c>
      <c r="C759" s="27"/>
      <c r="D759" s="27"/>
      <c r="E759" s="25"/>
      <c r="F759" s="26" t="str">
        <f>IF(E759='Tablas AR'!$B$4,1,IF('Análisis de Riesgos'!E759='Tablas AR'!$B$5,2,IF('Análisis de Riesgos'!E759='Tablas AR'!$B$6,3,"")))</f>
        <v/>
      </c>
      <c r="G759" s="25"/>
      <c r="H759" s="26" t="str">
        <f>IF(G759='Tablas AR'!$B$10,1,IF('Análisis de Riesgos'!G759='Tablas AR'!$B$11,2,IF('Análisis de Riesgos'!G759='Tablas AR'!$B$12,3,"")))</f>
        <v/>
      </c>
      <c r="I759" s="26" t="str">
        <f t="shared" si="11"/>
        <v/>
      </c>
    </row>
    <row r="760" spans="2:9" x14ac:dyDescent="0.3">
      <c r="B760" s="27" t="str">
        <f>IFERROR(INDEX(Activos!$B$3:$C$16, MATCH(C760,Activos!$B$3:$B$16),2),"")</f>
        <v/>
      </c>
      <c r="C760" s="27"/>
      <c r="D760" s="27"/>
      <c r="E760" s="25"/>
      <c r="F760" s="26" t="str">
        <f>IF(E760='Tablas AR'!$B$4,1,IF('Análisis de Riesgos'!E760='Tablas AR'!$B$5,2,IF('Análisis de Riesgos'!E760='Tablas AR'!$B$6,3,"")))</f>
        <v/>
      </c>
      <c r="G760" s="25"/>
      <c r="H760" s="26" t="str">
        <f>IF(G760='Tablas AR'!$B$10,1,IF('Análisis de Riesgos'!G760='Tablas AR'!$B$11,2,IF('Análisis de Riesgos'!G760='Tablas AR'!$B$12,3,"")))</f>
        <v/>
      </c>
      <c r="I760" s="26" t="str">
        <f t="shared" si="11"/>
        <v/>
      </c>
    </row>
    <row r="761" spans="2:9" x14ac:dyDescent="0.3">
      <c r="B761" s="27" t="str">
        <f>IFERROR(INDEX(Activos!$B$3:$C$16, MATCH(C761,Activos!$B$3:$B$16),2),"")</f>
        <v/>
      </c>
      <c r="C761" s="27"/>
      <c r="D761" s="27"/>
      <c r="E761" s="25"/>
      <c r="F761" s="26" t="str">
        <f>IF(E761='Tablas AR'!$B$4,1,IF('Análisis de Riesgos'!E761='Tablas AR'!$B$5,2,IF('Análisis de Riesgos'!E761='Tablas AR'!$B$6,3,"")))</f>
        <v/>
      </c>
      <c r="G761" s="25"/>
      <c r="H761" s="26" t="str">
        <f>IF(G761='Tablas AR'!$B$10,1,IF('Análisis de Riesgos'!G761='Tablas AR'!$B$11,2,IF('Análisis de Riesgos'!G761='Tablas AR'!$B$12,3,"")))</f>
        <v/>
      </c>
      <c r="I761" s="26" t="str">
        <f t="shared" si="11"/>
        <v/>
      </c>
    </row>
    <row r="762" spans="2:9" x14ac:dyDescent="0.3">
      <c r="B762" s="27" t="str">
        <f>IFERROR(INDEX(Activos!$B$3:$C$16, MATCH(C762,Activos!$B$3:$B$16),2),"")</f>
        <v/>
      </c>
      <c r="C762" s="27"/>
      <c r="D762" s="27"/>
      <c r="E762" s="25"/>
      <c r="F762" s="26" t="str">
        <f>IF(E762='Tablas AR'!$B$4,1,IF('Análisis de Riesgos'!E762='Tablas AR'!$B$5,2,IF('Análisis de Riesgos'!E762='Tablas AR'!$B$6,3,"")))</f>
        <v/>
      </c>
      <c r="G762" s="25"/>
      <c r="H762" s="26" t="str">
        <f>IF(G762='Tablas AR'!$B$10,1,IF('Análisis de Riesgos'!G762='Tablas AR'!$B$11,2,IF('Análisis de Riesgos'!G762='Tablas AR'!$B$12,3,"")))</f>
        <v/>
      </c>
      <c r="I762" s="26" t="str">
        <f t="shared" si="11"/>
        <v/>
      </c>
    </row>
    <row r="763" spans="2:9" x14ac:dyDescent="0.3">
      <c r="B763" s="27" t="str">
        <f>IFERROR(INDEX(Activos!$B$3:$C$16, MATCH(C763,Activos!$B$3:$B$16),2),"")</f>
        <v/>
      </c>
      <c r="C763" s="27"/>
      <c r="D763" s="27"/>
      <c r="E763" s="25"/>
      <c r="F763" s="26" t="str">
        <f>IF(E763='Tablas AR'!$B$4,1,IF('Análisis de Riesgos'!E763='Tablas AR'!$B$5,2,IF('Análisis de Riesgos'!E763='Tablas AR'!$B$6,3,"")))</f>
        <v/>
      </c>
      <c r="G763" s="25"/>
      <c r="H763" s="26" t="str">
        <f>IF(G763='Tablas AR'!$B$10,1,IF('Análisis de Riesgos'!G763='Tablas AR'!$B$11,2,IF('Análisis de Riesgos'!G763='Tablas AR'!$B$12,3,"")))</f>
        <v/>
      </c>
      <c r="I763" s="26" t="str">
        <f t="shared" si="11"/>
        <v/>
      </c>
    </row>
    <row r="764" spans="2:9" x14ac:dyDescent="0.3">
      <c r="B764" s="27" t="str">
        <f>IFERROR(INDEX(Activos!$B$3:$C$16, MATCH(C764,Activos!$B$3:$B$16),2),"")</f>
        <v/>
      </c>
      <c r="C764" s="27"/>
      <c r="D764" s="27"/>
      <c r="E764" s="25"/>
      <c r="F764" s="26" t="str">
        <f>IF(E764='Tablas AR'!$B$4,1,IF('Análisis de Riesgos'!E764='Tablas AR'!$B$5,2,IF('Análisis de Riesgos'!E764='Tablas AR'!$B$6,3,"")))</f>
        <v/>
      </c>
      <c r="G764" s="25"/>
      <c r="H764" s="26" t="str">
        <f>IF(G764='Tablas AR'!$B$10,1,IF('Análisis de Riesgos'!G764='Tablas AR'!$B$11,2,IF('Análisis de Riesgos'!G764='Tablas AR'!$B$12,3,"")))</f>
        <v/>
      </c>
      <c r="I764" s="26" t="str">
        <f t="shared" si="11"/>
        <v/>
      </c>
    </row>
    <row r="765" spans="2:9" x14ac:dyDescent="0.3">
      <c r="B765" s="27" t="str">
        <f>IFERROR(INDEX(Activos!$B$3:$C$16, MATCH(C765,Activos!$B$3:$B$16),2),"")</f>
        <v/>
      </c>
      <c r="C765" s="27"/>
      <c r="D765" s="27"/>
      <c r="E765" s="25"/>
      <c r="F765" s="26" t="str">
        <f>IF(E765='Tablas AR'!$B$4,1,IF('Análisis de Riesgos'!E765='Tablas AR'!$B$5,2,IF('Análisis de Riesgos'!E765='Tablas AR'!$B$6,3,"")))</f>
        <v/>
      </c>
      <c r="G765" s="25"/>
      <c r="H765" s="26" t="str">
        <f>IF(G765='Tablas AR'!$B$10,1,IF('Análisis de Riesgos'!G765='Tablas AR'!$B$11,2,IF('Análisis de Riesgos'!G765='Tablas AR'!$B$12,3,"")))</f>
        <v/>
      </c>
      <c r="I765" s="26" t="str">
        <f t="shared" si="11"/>
        <v/>
      </c>
    </row>
    <row r="766" spans="2:9" x14ac:dyDescent="0.3">
      <c r="B766" s="27" t="str">
        <f>IFERROR(INDEX(Activos!$B$3:$C$16, MATCH(C766,Activos!$B$3:$B$16),2),"")</f>
        <v/>
      </c>
      <c r="C766" s="27"/>
      <c r="D766" s="27"/>
      <c r="E766" s="25"/>
      <c r="F766" s="26" t="str">
        <f>IF(E766='Tablas AR'!$B$4,1,IF('Análisis de Riesgos'!E766='Tablas AR'!$B$5,2,IF('Análisis de Riesgos'!E766='Tablas AR'!$B$6,3,"")))</f>
        <v/>
      </c>
      <c r="G766" s="25"/>
      <c r="H766" s="26" t="str">
        <f>IF(G766='Tablas AR'!$B$10,1,IF('Análisis de Riesgos'!G766='Tablas AR'!$B$11,2,IF('Análisis de Riesgos'!G766='Tablas AR'!$B$12,3,"")))</f>
        <v/>
      </c>
      <c r="I766" s="26" t="str">
        <f t="shared" si="11"/>
        <v/>
      </c>
    </row>
    <row r="767" spans="2:9" x14ac:dyDescent="0.3">
      <c r="B767" s="27" t="str">
        <f>IFERROR(INDEX(Activos!$B$3:$C$16, MATCH(C767,Activos!$B$3:$B$16),2),"")</f>
        <v/>
      </c>
      <c r="C767" s="27"/>
      <c r="D767" s="27"/>
      <c r="E767" s="25"/>
      <c r="F767" s="26" t="str">
        <f>IF(E767='Tablas AR'!$B$4,1,IF('Análisis de Riesgos'!E767='Tablas AR'!$B$5,2,IF('Análisis de Riesgos'!E767='Tablas AR'!$B$6,3,"")))</f>
        <v/>
      </c>
      <c r="G767" s="25"/>
      <c r="H767" s="26" t="str">
        <f>IF(G767='Tablas AR'!$B$10,1,IF('Análisis de Riesgos'!G767='Tablas AR'!$B$11,2,IF('Análisis de Riesgos'!G767='Tablas AR'!$B$12,3,"")))</f>
        <v/>
      </c>
      <c r="I767" s="26" t="str">
        <f t="shared" si="11"/>
        <v/>
      </c>
    </row>
    <row r="768" spans="2:9" x14ac:dyDescent="0.3">
      <c r="B768" s="27" t="str">
        <f>IFERROR(INDEX(Activos!$B$3:$C$16, MATCH(C768,Activos!$B$3:$B$16),2),"")</f>
        <v/>
      </c>
      <c r="C768" s="27"/>
      <c r="D768" s="27"/>
      <c r="E768" s="25"/>
      <c r="F768" s="26" t="str">
        <f>IF(E768='Tablas AR'!$B$4,1,IF('Análisis de Riesgos'!E768='Tablas AR'!$B$5,2,IF('Análisis de Riesgos'!E768='Tablas AR'!$B$6,3,"")))</f>
        <v/>
      </c>
      <c r="G768" s="25"/>
      <c r="H768" s="26" t="str">
        <f>IF(G768='Tablas AR'!$B$10,1,IF('Análisis de Riesgos'!G768='Tablas AR'!$B$11,2,IF('Análisis de Riesgos'!G768='Tablas AR'!$B$12,3,"")))</f>
        <v/>
      </c>
      <c r="I768" s="26" t="str">
        <f t="shared" si="11"/>
        <v/>
      </c>
    </row>
    <row r="769" spans="2:9" x14ac:dyDescent="0.3">
      <c r="B769" s="27" t="str">
        <f>IFERROR(INDEX(Activos!$B$3:$C$16, MATCH(C769,Activos!$B$3:$B$16),2),"")</f>
        <v/>
      </c>
      <c r="C769" s="27"/>
      <c r="D769" s="27"/>
      <c r="E769" s="25"/>
      <c r="F769" s="26" t="str">
        <f>IF(E769='Tablas AR'!$B$4,1,IF('Análisis de Riesgos'!E769='Tablas AR'!$B$5,2,IF('Análisis de Riesgos'!E769='Tablas AR'!$B$6,3,"")))</f>
        <v/>
      </c>
      <c r="G769" s="25"/>
      <c r="H769" s="26" t="str">
        <f>IF(G769='Tablas AR'!$B$10,1,IF('Análisis de Riesgos'!G769='Tablas AR'!$B$11,2,IF('Análisis de Riesgos'!G769='Tablas AR'!$B$12,3,"")))</f>
        <v/>
      </c>
      <c r="I769" s="26" t="str">
        <f t="shared" si="11"/>
        <v/>
      </c>
    </row>
    <row r="770" spans="2:9" x14ac:dyDescent="0.3">
      <c r="B770" s="27" t="str">
        <f>IFERROR(INDEX(Activos!$B$3:$C$16, MATCH(C770,Activos!$B$3:$B$16),2),"")</f>
        <v/>
      </c>
      <c r="C770" s="27"/>
      <c r="D770" s="27"/>
      <c r="E770" s="25"/>
      <c r="F770" s="26" t="str">
        <f>IF(E770='Tablas AR'!$B$4,1,IF('Análisis de Riesgos'!E770='Tablas AR'!$B$5,2,IF('Análisis de Riesgos'!E770='Tablas AR'!$B$6,3,"")))</f>
        <v/>
      </c>
      <c r="G770" s="25"/>
      <c r="H770" s="26" t="str">
        <f>IF(G770='Tablas AR'!$B$10,1,IF('Análisis de Riesgos'!G770='Tablas AR'!$B$11,2,IF('Análisis de Riesgos'!G770='Tablas AR'!$B$12,3,"")))</f>
        <v/>
      </c>
      <c r="I770" s="26" t="str">
        <f t="shared" si="11"/>
        <v/>
      </c>
    </row>
    <row r="771" spans="2:9" x14ac:dyDescent="0.3">
      <c r="B771" s="27" t="str">
        <f>IFERROR(INDEX(Activos!$B$3:$C$16, MATCH(C771,Activos!$B$3:$B$16),2),"")</f>
        <v/>
      </c>
      <c r="C771" s="27"/>
      <c r="D771" s="27"/>
      <c r="E771" s="25"/>
      <c r="F771" s="26" t="str">
        <f>IF(E771='Tablas AR'!$B$4,1,IF('Análisis de Riesgos'!E771='Tablas AR'!$B$5,2,IF('Análisis de Riesgos'!E771='Tablas AR'!$B$6,3,"")))</f>
        <v/>
      </c>
      <c r="G771" s="25"/>
      <c r="H771" s="26" t="str">
        <f>IF(G771='Tablas AR'!$B$10,1,IF('Análisis de Riesgos'!G771='Tablas AR'!$B$11,2,IF('Análisis de Riesgos'!G771='Tablas AR'!$B$12,3,"")))</f>
        <v/>
      </c>
      <c r="I771" s="26" t="str">
        <f t="shared" si="11"/>
        <v/>
      </c>
    </row>
    <row r="772" spans="2:9" x14ac:dyDescent="0.3">
      <c r="B772" s="27" t="str">
        <f>IFERROR(INDEX(Activos!$B$3:$C$16, MATCH(C772,Activos!$B$3:$B$16),2),"")</f>
        <v/>
      </c>
      <c r="C772" s="27"/>
      <c r="D772" s="27"/>
      <c r="E772" s="25"/>
      <c r="F772" s="26" t="str">
        <f>IF(E772='Tablas AR'!$B$4,1,IF('Análisis de Riesgos'!E772='Tablas AR'!$B$5,2,IF('Análisis de Riesgos'!E772='Tablas AR'!$B$6,3,"")))</f>
        <v/>
      </c>
      <c r="G772" s="25"/>
      <c r="H772" s="26" t="str">
        <f>IF(G772='Tablas AR'!$B$10,1,IF('Análisis de Riesgos'!G772='Tablas AR'!$B$11,2,IF('Análisis de Riesgos'!G772='Tablas AR'!$B$12,3,"")))</f>
        <v/>
      </c>
      <c r="I772" s="26" t="str">
        <f t="shared" ref="I772:I835" si="12" xml:space="preserve"> IFERROR(F772*H772,"")</f>
        <v/>
      </c>
    </row>
    <row r="773" spans="2:9" x14ac:dyDescent="0.3">
      <c r="B773" s="27" t="str">
        <f>IFERROR(INDEX(Activos!$B$3:$C$16, MATCH(C773,Activos!$B$3:$B$16),2),"")</f>
        <v/>
      </c>
      <c r="C773" s="27"/>
      <c r="D773" s="27"/>
      <c r="E773" s="25"/>
      <c r="F773" s="26" t="str">
        <f>IF(E773='Tablas AR'!$B$4,1,IF('Análisis de Riesgos'!E773='Tablas AR'!$B$5,2,IF('Análisis de Riesgos'!E773='Tablas AR'!$B$6,3,"")))</f>
        <v/>
      </c>
      <c r="G773" s="25"/>
      <c r="H773" s="26" t="str">
        <f>IF(G773='Tablas AR'!$B$10,1,IF('Análisis de Riesgos'!G773='Tablas AR'!$B$11,2,IF('Análisis de Riesgos'!G773='Tablas AR'!$B$12,3,"")))</f>
        <v/>
      </c>
      <c r="I773" s="26" t="str">
        <f t="shared" si="12"/>
        <v/>
      </c>
    </row>
    <row r="774" spans="2:9" x14ac:dyDescent="0.3">
      <c r="B774" s="27" t="str">
        <f>IFERROR(INDEX(Activos!$B$3:$C$16, MATCH(C774,Activos!$B$3:$B$16),2),"")</f>
        <v/>
      </c>
      <c r="C774" s="27"/>
      <c r="D774" s="27"/>
      <c r="E774" s="25"/>
      <c r="F774" s="26" t="str">
        <f>IF(E774='Tablas AR'!$B$4,1,IF('Análisis de Riesgos'!E774='Tablas AR'!$B$5,2,IF('Análisis de Riesgos'!E774='Tablas AR'!$B$6,3,"")))</f>
        <v/>
      </c>
      <c r="G774" s="25"/>
      <c r="H774" s="26" t="str">
        <f>IF(G774='Tablas AR'!$B$10,1,IF('Análisis de Riesgos'!G774='Tablas AR'!$B$11,2,IF('Análisis de Riesgos'!G774='Tablas AR'!$B$12,3,"")))</f>
        <v/>
      </c>
      <c r="I774" s="26" t="str">
        <f t="shared" si="12"/>
        <v/>
      </c>
    </row>
    <row r="775" spans="2:9" x14ac:dyDescent="0.3">
      <c r="B775" s="27" t="str">
        <f>IFERROR(INDEX(Activos!$B$3:$C$16, MATCH(C775,Activos!$B$3:$B$16),2),"")</f>
        <v/>
      </c>
      <c r="C775" s="27"/>
      <c r="D775" s="27"/>
      <c r="E775" s="25"/>
      <c r="F775" s="26" t="str">
        <f>IF(E775='Tablas AR'!$B$4,1,IF('Análisis de Riesgos'!E775='Tablas AR'!$B$5,2,IF('Análisis de Riesgos'!E775='Tablas AR'!$B$6,3,"")))</f>
        <v/>
      </c>
      <c r="G775" s="25"/>
      <c r="H775" s="26" t="str">
        <f>IF(G775='Tablas AR'!$B$10,1,IF('Análisis de Riesgos'!G775='Tablas AR'!$B$11,2,IF('Análisis de Riesgos'!G775='Tablas AR'!$B$12,3,"")))</f>
        <v/>
      </c>
      <c r="I775" s="26" t="str">
        <f t="shared" si="12"/>
        <v/>
      </c>
    </row>
    <row r="776" spans="2:9" x14ac:dyDescent="0.3">
      <c r="B776" s="27" t="str">
        <f>IFERROR(INDEX(Activos!$B$3:$C$16, MATCH(C776,Activos!$B$3:$B$16),2),"")</f>
        <v/>
      </c>
      <c r="C776" s="27"/>
      <c r="D776" s="27"/>
      <c r="E776" s="25"/>
      <c r="F776" s="26" t="str">
        <f>IF(E776='Tablas AR'!$B$4,1,IF('Análisis de Riesgos'!E776='Tablas AR'!$B$5,2,IF('Análisis de Riesgos'!E776='Tablas AR'!$B$6,3,"")))</f>
        <v/>
      </c>
      <c r="G776" s="25"/>
      <c r="H776" s="26" t="str">
        <f>IF(G776='Tablas AR'!$B$10,1,IF('Análisis de Riesgos'!G776='Tablas AR'!$B$11,2,IF('Análisis de Riesgos'!G776='Tablas AR'!$B$12,3,"")))</f>
        <v/>
      </c>
      <c r="I776" s="26" t="str">
        <f t="shared" si="12"/>
        <v/>
      </c>
    </row>
    <row r="777" spans="2:9" x14ac:dyDescent="0.3">
      <c r="B777" s="27" t="str">
        <f>IFERROR(INDEX(Activos!$B$3:$C$16, MATCH(C777,Activos!$B$3:$B$16),2),"")</f>
        <v/>
      </c>
      <c r="C777" s="27"/>
      <c r="D777" s="27"/>
      <c r="E777" s="25"/>
      <c r="F777" s="26" t="str">
        <f>IF(E777='Tablas AR'!$B$4,1,IF('Análisis de Riesgos'!E777='Tablas AR'!$B$5,2,IF('Análisis de Riesgos'!E777='Tablas AR'!$B$6,3,"")))</f>
        <v/>
      </c>
      <c r="G777" s="25"/>
      <c r="H777" s="26" t="str">
        <f>IF(G777='Tablas AR'!$B$10,1,IF('Análisis de Riesgos'!G777='Tablas AR'!$B$11,2,IF('Análisis de Riesgos'!G777='Tablas AR'!$B$12,3,"")))</f>
        <v/>
      </c>
      <c r="I777" s="26" t="str">
        <f t="shared" si="12"/>
        <v/>
      </c>
    </row>
    <row r="778" spans="2:9" x14ac:dyDescent="0.3">
      <c r="B778" s="27" t="str">
        <f>IFERROR(INDEX(Activos!$B$3:$C$16, MATCH(C778,Activos!$B$3:$B$16),2),"")</f>
        <v/>
      </c>
      <c r="C778" s="27"/>
      <c r="D778" s="27"/>
      <c r="E778" s="25"/>
      <c r="F778" s="26" t="str">
        <f>IF(E778='Tablas AR'!$B$4,1,IF('Análisis de Riesgos'!E778='Tablas AR'!$B$5,2,IF('Análisis de Riesgos'!E778='Tablas AR'!$B$6,3,"")))</f>
        <v/>
      </c>
      <c r="G778" s="25"/>
      <c r="H778" s="26" t="str">
        <f>IF(G778='Tablas AR'!$B$10,1,IF('Análisis de Riesgos'!G778='Tablas AR'!$B$11,2,IF('Análisis de Riesgos'!G778='Tablas AR'!$B$12,3,"")))</f>
        <v/>
      </c>
      <c r="I778" s="26" t="str">
        <f t="shared" si="12"/>
        <v/>
      </c>
    </row>
    <row r="779" spans="2:9" x14ac:dyDescent="0.3">
      <c r="B779" s="27" t="str">
        <f>IFERROR(INDEX(Activos!$B$3:$C$16, MATCH(C779,Activos!$B$3:$B$16),2),"")</f>
        <v/>
      </c>
      <c r="C779" s="27"/>
      <c r="D779" s="27"/>
      <c r="E779" s="25"/>
      <c r="F779" s="26" t="str">
        <f>IF(E779='Tablas AR'!$B$4,1,IF('Análisis de Riesgos'!E779='Tablas AR'!$B$5,2,IF('Análisis de Riesgos'!E779='Tablas AR'!$B$6,3,"")))</f>
        <v/>
      </c>
      <c r="G779" s="25"/>
      <c r="H779" s="26" t="str">
        <f>IF(G779='Tablas AR'!$B$10,1,IF('Análisis de Riesgos'!G779='Tablas AR'!$B$11,2,IF('Análisis de Riesgos'!G779='Tablas AR'!$B$12,3,"")))</f>
        <v/>
      </c>
      <c r="I779" s="26" t="str">
        <f t="shared" si="12"/>
        <v/>
      </c>
    </row>
    <row r="780" spans="2:9" x14ac:dyDescent="0.3">
      <c r="B780" s="27" t="str">
        <f>IFERROR(INDEX(Activos!$B$3:$C$16, MATCH(C780,Activos!$B$3:$B$16),2),"")</f>
        <v/>
      </c>
      <c r="C780" s="27"/>
      <c r="D780" s="27"/>
      <c r="E780" s="25"/>
      <c r="F780" s="26" t="str">
        <f>IF(E780='Tablas AR'!$B$4,1,IF('Análisis de Riesgos'!E780='Tablas AR'!$B$5,2,IF('Análisis de Riesgos'!E780='Tablas AR'!$B$6,3,"")))</f>
        <v/>
      </c>
      <c r="G780" s="25"/>
      <c r="H780" s="26" t="str">
        <f>IF(G780='Tablas AR'!$B$10,1,IF('Análisis de Riesgos'!G780='Tablas AR'!$B$11,2,IF('Análisis de Riesgos'!G780='Tablas AR'!$B$12,3,"")))</f>
        <v/>
      </c>
      <c r="I780" s="26" t="str">
        <f t="shared" si="12"/>
        <v/>
      </c>
    </row>
    <row r="781" spans="2:9" x14ac:dyDescent="0.3">
      <c r="B781" s="27" t="str">
        <f>IFERROR(INDEX(Activos!$B$3:$C$16, MATCH(C781,Activos!$B$3:$B$16),2),"")</f>
        <v/>
      </c>
      <c r="C781" s="27"/>
      <c r="D781" s="27"/>
      <c r="E781" s="25"/>
      <c r="F781" s="26" t="str">
        <f>IF(E781='Tablas AR'!$B$4,1,IF('Análisis de Riesgos'!E781='Tablas AR'!$B$5,2,IF('Análisis de Riesgos'!E781='Tablas AR'!$B$6,3,"")))</f>
        <v/>
      </c>
      <c r="G781" s="25"/>
      <c r="H781" s="26" t="str">
        <f>IF(G781='Tablas AR'!$B$10,1,IF('Análisis de Riesgos'!G781='Tablas AR'!$B$11,2,IF('Análisis de Riesgos'!G781='Tablas AR'!$B$12,3,"")))</f>
        <v/>
      </c>
      <c r="I781" s="26" t="str">
        <f t="shared" si="12"/>
        <v/>
      </c>
    </row>
    <row r="782" spans="2:9" x14ac:dyDescent="0.3">
      <c r="B782" s="27" t="str">
        <f>IFERROR(INDEX(Activos!$B$3:$C$16, MATCH(C782,Activos!$B$3:$B$16),2),"")</f>
        <v/>
      </c>
      <c r="C782" s="27"/>
      <c r="D782" s="27"/>
      <c r="E782" s="25"/>
      <c r="F782" s="26" t="str">
        <f>IF(E782='Tablas AR'!$B$4,1,IF('Análisis de Riesgos'!E782='Tablas AR'!$B$5,2,IF('Análisis de Riesgos'!E782='Tablas AR'!$B$6,3,"")))</f>
        <v/>
      </c>
      <c r="G782" s="25"/>
      <c r="H782" s="26" t="str">
        <f>IF(G782='Tablas AR'!$B$10,1,IF('Análisis de Riesgos'!G782='Tablas AR'!$B$11,2,IF('Análisis de Riesgos'!G782='Tablas AR'!$B$12,3,"")))</f>
        <v/>
      </c>
      <c r="I782" s="26" t="str">
        <f t="shared" si="12"/>
        <v/>
      </c>
    </row>
    <row r="783" spans="2:9" x14ac:dyDescent="0.3">
      <c r="B783" s="27" t="str">
        <f>IFERROR(INDEX(Activos!$B$3:$C$16, MATCH(C783,Activos!$B$3:$B$16),2),"")</f>
        <v/>
      </c>
      <c r="C783" s="27"/>
      <c r="D783" s="27"/>
      <c r="E783" s="25"/>
      <c r="F783" s="26" t="str">
        <f>IF(E783='Tablas AR'!$B$4,1,IF('Análisis de Riesgos'!E783='Tablas AR'!$B$5,2,IF('Análisis de Riesgos'!E783='Tablas AR'!$B$6,3,"")))</f>
        <v/>
      </c>
      <c r="G783" s="25"/>
      <c r="H783" s="26" t="str">
        <f>IF(G783='Tablas AR'!$B$10,1,IF('Análisis de Riesgos'!G783='Tablas AR'!$B$11,2,IF('Análisis de Riesgos'!G783='Tablas AR'!$B$12,3,"")))</f>
        <v/>
      </c>
      <c r="I783" s="26" t="str">
        <f t="shared" si="12"/>
        <v/>
      </c>
    </row>
    <row r="784" spans="2:9" x14ac:dyDescent="0.3">
      <c r="B784" s="27" t="str">
        <f>IFERROR(INDEX(Activos!$B$3:$C$16, MATCH(C784,Activos!$B$3:$B$16),2),"")</f>
        <v/>
      </c>
      <c r="C784" s="27"/>
      <c r="D784" s="27"/>
      <c r="E784" s="25"/>
      <c r="F784" s="26" t="str">
        <f>IF(E784='Tablas AR'!$B$4,1,IF('Análisis de Riesgos'!E784='Tablas AR'!$B$5,2,IF('Análisis de Riesgos'!E784='Tablas AR'!$B$6,3,"")))</f>
        <v/>
      </c>
      <c r="G784" s="25"/>
      <c r="H784" s="26" t="str">
        <f>IF(G784='Tablas AR'!$B$10,1,IF('Análisis de Riesgos'!G784='Tablas AR'!$B$11,2,IF('Análisis de Riesgos'!G784='Tablas AR'!$B$12,3,"")))</f>
        <v/>
      </c>
      <c r="I784" s="26" t="str">
        <f t="shared" si="12"/>
        <v/>
      </c>
    </row>
    <row r="785" spans="2:9" x14ac:dyDescent="0.3">
      <c r="B785" s="27" t="str">
        <f>IFERROR(INDEX(Activos!$B$3:$C$16, MATCH(C785,Activos!$B$3:$B$16),2),"")</f>
        <v/>
      </c>
      <c r="C785" s="27"/>
      <c r="D785" s="27"/>
      <c r="E785" s="25"/>
      <c r="F785" s="26" t="str">
        <f>IF(E785='Tablas AR'!$B$4,1,IF('Análisis de Riesgos'!E785='Tablas AR'!$B$5,2,IF('Análisis de Riesgos'!E785='Tablas AR'!$B$6,3,"")))</f>
        <v/>
      </c>
      <c r="G785" s="25"/>
      <c r="H785" s="26" t="str">
        <f>IF(G785='Tablas AR'!$B$10,1,IF('Análisis de Riesgos'!G785='Tablas AR'!$B$11,2,IF('Análisis de Riesgos'!G785='Tablas AR'!$B$12,3,"")))</f>
        <v/>
      </c>
      <c r="I785" s="26" t="str">
        <f t="shared" si="12"/>
        <v/>
      </c>
    </row>
    <row r="786" spans="2:9" x14ac:dyDescent="0.3">
      <c r="B786" s="27" t="str">
        <f>IFERROR(INDEX(Activos!$B$3:$C$16, MATCH(C786,Activos!$B$3:$B$16),2),"")</f>
        <v/>
      </c>
      <c r="C786" s="27"/>
      <c r="D786" s="27"/>
      <c r="E786" s="25"/>
      <c r="F786" s="26" t="str">
        <f>IF(E786='Tablas AR'!$B$4,1,IF('Análisis de Riesgos'!E786='Tablas AR'!$B$5,2,IF('Análisis de Riesgos'!E786='Tablas AR'!$B$6,3,"")))</f>
        <v/>
      </c>
      <c r="G786" s="25"/>
      <c r="H786" s="26" t="str">
        <f>IF(G786='Tablas AR'!$B$10,1,IF('Análisis de Riesgos'!G786='Tablas AR'!$B$11,2,IF('Análisis de Riesgos'!G786='Tablas AR'!$B$12,3,"")))</f>
        <v/>
      </c>
      <c r="I786" s="26" t="str">
        <f t="shared" si="12"/>
        <v/>
      </c>
    </row>
    <row r="787" spans="2:9" x14ac:dyDescent="0.3">
      <c r="B787" s="27" t="str">
        <f>IFERROR(INDEX(Activos!$B$3:$C$16, MATCH(C787,Activos!$B$3:$B$16),2),"")</f>
        <v/>
      </c>
      <c r="C787" s="27"/>
      <c r="D787" s="27"/>
      <c r="E787" s="25"/>
      <c r="F787" s="26" t="str">
        <f>IF(E787='Tablas AR'!$B$4,1,IF('Análisis de Riesgos'!E787='Tablas AR'!$B$5,2,IF('Análisis de Riesgos'!E787='Tablas AR'!$B$6,3,"")))</f>
        <v/>
      </c>
      <c r="G787" s="25"/>
      <c r="H787" s="26" t="str">
        <f>IF(G787='Tablas AR'!$B$10,1,IF('Análisis de Riesgos'!G787='Tablas AR'!$B$11,2,IF('Análisis de Riesgos'!G787='Tablas AR'!$B$12,3,"")))</f>
        <v/>
      </c>
      <c r="I787" s="26" t="str">
        <f t="shared" si="12"/>
        <v/>
      </c>
    </row>
    <row r="788" spans="2:9" x14ac:dyDescent="0.3">
      <c r="B788" s="27" t="str">
        <f>IFERROR(INDEX(Activos!$B$3:$C$16, MATCH(C788,Activos!$B$3:$B$16),2),"")</f>
        <v/>
      </c>
      <c r="C788" s="27"/>
      <c r="D788" s="27"/>
      <c r="E788" s="25"/>
      <c r="F788" s="26" t="str">
        <f>IF(E788='Tablas AR'!$B$4,1,IF('Análisis de Riesgos'!E788='Tablas AR'!$B$5,2,IF('Análisis de Riesgos'!E788='Tablas AR'!$B$6,3,"")))</f>
        <v/>
      </c>
      <c r="G788" s="25"/>
      <c r="H788" s="26" t="str">
        <f>IF(G788='Tablas AR'!$B$10,1,IF('Análisis de Riesgos'!G788='Tablas AR'!$B$11,2,IF('Análisis de Riesgos'!G788='Tablas AR'!$B$12,3,"")))</f>
        <v/>
      </c>
      <c r="I788" s="26" t="str">
        <f t="shared" si="12"/>
        <v/>
      </c>
    </row>
    <row r="789" spans="2:9" x14ac:dyDescent="0.3">
      <c r="B789" s="27" t="str">
        <f>IFERROR(INDEX(Activos!$B$3:$C$16, MATCH(C789,Activos!$B$3:$B$16),2),"")</f>
        <v/>
      </c>
      <c r="C789" s="27"/>
      <c r="D789" s="27"/>
      <c r="E789" s="25"/>
      <c r="F789" s="26" t="str">
        <f>IF(E789='Tablas AR'!$B$4,1,IF('Análisis de Riesgos'!E789='Tablas AR'!$B$5,2,IF('Análisis de Riesgos'!E789='Tablas AR'!$B$6,3,"")))</f>
        <v/>
      </c>
      <c r="G789" s="25"/>
      <c r="H789" s="26" t="str">
        <f>IF(G789='Tablas AR'!$B$10,1,IF('Análisis de Riesgos'!G789='Tablas AR'!$B$11,2,IF('Análisis de Riesgos'!G789='Tablas AR'!$B$12,3,"")))</f>
        <v/>
      </c>
      <c r="I789" s="26" t="str">
        <f t="shared" si="12"/>
        <v/>
      </c>
    </row>
    <row r="790" spans="2:9" x14ac:dyDescent="0.3">
      <c r="B790" s="27" t="str">
        <f>IFERROR(INDEX(Activos!$B$3:$C$16, MATCH(C790,Activos!$B$3:$B$16),2),"")</f>
        <v/>
      </c>
      <c r="C790" s="27"/>
      <c r="D790" s="27"/>
      <c r="E790" s="25"/>
      <c r="F790" s="26" t="str">
        <f>IF(E790='Tablas AR'!$B$4,1,IF('Análisis de Riesgos'!E790='Tablas AR'!$B$5,2,IF('Análisis de Riesgos'!E790='Tablas AR'!$B$6,3,"")))</f>
        <v/>
      </c>
      <c r="G790" s="25"/>
      <c r="H790" s="26" t="str">
        <f>IF(G790='Tablas AR'!$B$10,1,IF('Análisis de Riesgos'!G790='Tablas AR'!$B$11,2,IF('Análisis de Riesgos'!G790='Tablas AR'!$B$12,3,"")))</f>
        <v/>
      </c>
      <c r="I790" s="26" t="str">
        <f t="shared" si="12"/>
        <v/>
      </c>
    </row>
    <row r="791" spans="2:9" x14ac:dyDescent="0.3">
      <c r="B791" s="27" t="str">
        <f>IFERROR(INDEX(Activos!$B$3:$C$16, MATCH(C791,Activos!$B$3:$B$16),2),"")</f>
        <v/>
      </c>
      <c r="C791" s="27"/>
      <c r="D791" s="27"/>
      <c r="E791" s="25"/>
      <c r="F791" s="26" t="str">
        <f>IF(E791='Tablas AR'!$B$4,1,IF('Análisis de Riesgos'!E791='Tablas AR'!$B$5,2,IF('Análisis de Riesgos'!E791='Tablas AR'!$B$6,3,"")))</f>
        <v/>
      </c>
      <c r="G791" s="25"/>
      <c r="H791" s="26" t="str">
        <f>IF(G791='Tablas AR'!$B$10,1,IF('Análisis de Riesgos'!G791='Tablas AR'!$B$11,2,IF('Análisis de Riesgos'!G791='Tablas AR'!$B$12,3,"")))</f>
        <v/>
      </c>
      <c r="I791" s="26" t="str">
        <f t="shared" si="12"/>
        <v/>
      </c>
    </row>
    <row r="792" spans="2:9" x14ac:dyDescent="0.3">
      <c r="B792" s="27" t="str">
        <f>IFERROR(INDEX(Activos!$B$3:$C$16, MATCH(C792,Activos!$B$3:$B$16),2),"")</f>
        <v/>
      </c>
      <c r="C792" s="27"/>
      <c r="D792" s="27"/>
      <c r="E792" s="25"/>
      <c r="F792" s="26" t="str">
        <f>IF(E792='Tablas AR'!$B$4,1,IF('Análisis de Riesgos'!E792='Tablas AR'!$B$5,2,IF('Análisis de Riesgos'!E792='Tablas AR'!$B$6,3,"")))</f>
        <v/>
      </c>
      <c r="G792" s="25"/>
      <c r="H792" s="26" t="str">
        <f>IF(G792='Tablas AR'!$B$10,1,IF('Análisis de Riesgos'!G792='Tablas AR'!$B$11,2,IF('Análisis de Riesgos'!G792='Tablas AR'!$B$12,3,"")))</f>
        <v/>
      </c>
      <c r="I792" s="26" t="str">
        <f t="shared" si="12"/>
        <v/>
      </c>
    </row>
    <row r="793" spans="2:9" x14ac:dyDescent="0.3">
      <c r="B793" s="27" t="str">
        <f>IFERROR(INDEX(Activos!$B$3:$C$16, MATCH(C793,Activos!$B$3:$B$16),2),"")</f>
        <v/>
      </c>
      <c r="C793" s="27"/>
      <c r="D793" s="27"/>
      <c r="E793" s="25"/>
      <c r="F793" s="26" t="str">
        <f>IF(E793='Tablas AR'!$B$4,1,IF('Análisis de Riesgos'!E793='Tablas AR'!$B$5,2,IF('Análisis de Riesgos'!E793='Tablas AR'!$B$6,3,"")))</f>
        <v/>
      </c>
      <c r="G793" s="25"/>
      <c r="H793" s="26" t="str">
        <f>IF(G793='Tablas AR'!$B$10,1,IF('Análisis de Riesgos'!G793='Tablas AR'!$B$11,2,IF('Análisis de Riesgos'!G793='Tablas AR'!$B$12,3,"")))</f>
        <v/>
      </c>
      <c r="I793" s="26" t="str">
        <f t="shared" si="12"/>
        <v/>
      </c>
    </row>
    <row r="794" spans="2:9" x14ac:dyDescent="0.3">
      <c r="B794" s="27" t="str">
        <f>IFERROR(INDEX(Activos!$B$3:$C$16, MATCH(C794,Activos!$B$3:$B$16),2),"")</f>
        <v/>
      </c>
      <c r="C794" s="27"/>
      <c r="D794" s="27"/>
      <c r="E794" s="25"/>
      <c r="F794" s="26" t="str">
        <f>IF(E794='Tablas AR'!$B$4,1,IF('Análisis de Riesgos'!E794='Tablas AR'!$B$5,2,IF('Análisis de Riesgos'!E794='Tablas AR'!$B$6,3,"")))</f>
        <v/>
      </c>
      <c r="G794" s="25"/>
      <c r="H794" s="26" t="str">
        <f>IF(G794='Tablas AR'!$B$10,1,IF('Análisis de Riesgos'!G794='Tablas AR'!$B$11,2,IF('Análisis de Riesgos'!G794='Tablas AR'!$B$12,3,"")))</f>
        <v/>
      </c>
      <c r="I794" s="26" t="str">
        <f t="shared" si="12"/>
        <v/>
      </c>
    </row>
    <row r="795" spans="2:9" x14ac:dyDescent="0.3">
      <c r="B795" s="27" t="str">
        <f>IFERROR(INDEX(Activos!$B$3:$C$16, MATCH(C795,Activos!$B$3:$B$16),2),"")</f>
        <v/>
      </c>
      <c r="C795" s="27"/>
      <c r="D795" s="27"/>
      <c r="E795" s="25"/>
      <c r="F795" s="26" t="str">
        <f>IF(E795='Tablas AR'!$B$4,1,IF('Análisis de Riesgos'!E795='Tablas AR'!$B$5,2,IF('Análisis de Riesgos'!E795='Tablas AR'!$B$6,3,"")))</f>
        <v/>
      </c>
      <c r="G795" s="25"/>
      <c r="H795" s="26" t="str">
        <f>IF(G795='Tablas AR'!$B$10,1,IF('Análisis de Riesgos'!G795='Tablas AR'!$B$11,2,IF('Análisis de Riesgos'!G795='Tablas AR'!$B$12,3,"")))</f>
        <v/>
      </c>
      <c r="I795" s="26" t="str">
        <f t="shared" si="12"/>
        <v/>
      </c>
    </row>
    <row r="796" spans="2:9" x14ac:dyDescent="0.3">
      <c r="B796" s="27" t="str">
        <f>IFERROR(INDEX(Activos!$B$3:$C$16, MATCH(C796,Activos!$B$3:$B$16),2),"")</f>
        <v/>
      </c>
      <c r="C796" s="27"/>
      <c r="D796" s="27"/>
      <c r="E796" s="25"/>
      <c r="F796" s="26" t="str">
        <f>IF(E796='Tablas AR'!$B$4,1,IF('Análisis de Riesgos'!E796='Tablas AR'!$B$5,2,IF('Análisis de Riesgos'!E796='Tablas AR'!$B$6,3,"")))</f>
        <v/>
      </c>
      <c r="G796" s="25"/>
      <c r="H796" s="26" t="str">
        <f>IF(G796='Tablas AR'!$B$10,1,IF('Análisis de Riesgos'!G796='Tablas AR'!$B$11,2,IF('Análisis de Riesgos'!G796='Tablas AR'!$B$12,3,"")))</f>
        <v/>
      </c>
      <c r="I796" s="26" t="str">
        <f t="shared" si="12"/>
        <v/>
      </c>
    </row>
    <row r="797" spans="2:9" x14ac:dyDescent="0.3">
      <c r="B797" s="27" t="str">
        <f>IFERROR(INDEX(Activos!$B$3:$C$16, MATCH(C797,Activos!$B$3:$B$16),2),"")</f>
        <v/>
      </c>
      <c r="C797" s="27"/>
      <c r="D797" s="27"/>
      <c r="E797" s="25"/>
      <c r="F797" s="26" t="str">
        <f>IF(E797='Tablas AR'!$B$4,1,IF('Análisis de Riesgos'!E797='Tablas AR'!$B$5,2,IF('Análisis de Riesgos'!E797='Tablas AR'!$B$6,3,"")))</f>
        <v/>
      </c>
      <c r="G797" s="25"/>
      <c r="H797" s="26" t="str">
        <f>IF(G797='Tablas AR'!$B$10,1,IF('Análisis de Riesgos'!G797='Tablas AR'!$B$11,2,IF('Análisis de Riesgos'!G797='Tablas AR'!$B$12,3,"")))</f>
        <v/>
      </c>
      <c r="I797" s="26" t="str">
        <f t="shared" si="12"/>
        <v/>
      </c>
    </row>
    <row r="798" spans="2:9" x14ac:dyDescent="0.3">
      <c r="B798" s="27" t="str">
        <f>IFERROR(INDEX(Activos!$B$3:$C$16, MATCH(C798,Activos!$B$3:$B$16),2),"")</f>
        <v/>
      </c>
      <c r="C798" s="27"/>
      <c r="D798" s="27"/>
      <c r="E798" s="25"/>
      <c r="F798" s="26" t="str">
        <f>IF(E798='Tablas AR'!$B$4,1,IF('Análisis de Riesgos'!E798='Tablas AR'!$B$5,2,IF('Análisis de Riesgos'!E798='Tablas AR'!$B$6,3,"")))</f>
        <v/>
      </c>
      <c r="G798" s="25"/>
      <c r="H798" s="26" t="str">
        <f>IF(G798='Tablas AR'!$B$10,1,IF('Análisis de Riesgos'!G798='Tablas AR'!$B$11,2,IF('Análisis de Riesgos'!G798='Tablas AR'!$B$12,3,"")))</f>
        <v/>
      </c>
      <c r="I798" s="26" t="str">
        <f t="shared" si="12"/>
        <v/>
      </c>
    </row>
    <row r="799" spans="2:9" x14ac:dyDescent="0.3">
      <c r="B799" s="27" t="str">
        <f>IFERROR(INDEX(Activos!$B$3:$C$16, MATCH(C799,Activos!$B$3:$B$16),2),"")</f>
        <v/>
      </c>
      <c r="C799" s="27"/>
      <c r="D799" s="27"/>
      <c r="E799" s="25"/>
      <c r="F799" s="26" t="str">
        <f>IF(E799='Tablas AR'!$B$4,1,IF('Análisis de Riesgos'!E799='Tablas AR'!$B$5,2,IF('Análisis de Riesgos'!E799='Tablas AR'!$B$6,3,"")))</f>
        <v/>
      </c>
      <c r="G799" s="25"/>
      <c r="H799" s="26" t="str">
        <f>IF(G799='Tablas AR'!$B$10,1,IF('Análisis de Riesgos'!G799='Tablas AR'!$B$11,2,IF('Análisis de Riesgos'!G799='Tablas AR'!$B$12,3,"")))</f>
        <v/>
      </c>
      <c r="I799" s="26" t="str">
        <f t="shared" si="12"/>
        <v/>
      </c>
    </row>
    <row r="800" spans="2:9" x14ac:dyDescent="0.3">
      <c r="B800" s="27" t="str">
        <f>IFERROR(INDEX(Activos!$B$3:$C$16, MATCH(C800,Activos!$B$3:$B$16),2),"")</f>
        <v/>
      </c>
      <c r="C800" s="27"/>
      <c r="D800" s="27"/>
      <c r="E800" s="25"/>
      <c r="F800" s="26" t="str">
        <f>IF(E800='Tablas AR'!$B$4,1,IF('Análisis de Riesgos'!E800='Tablas AR'!$B$5,2,IF('Análisis de Riesgos'!E800='Tablas AR'!$B$6,3,"")))</f>
        <v/>
      </c>
      <c r="G800" s="25"/>
      <c r="H800" s="26" t="str">
        <f>IF(G800='Tablas AR'!$B$10,1,IF('Análisis de Riesgos'!G800='Tablas AR'!$B$11,2,IF('Análisis de Riesgos'!G800='Tablas AR'!$B$12,3,"")))</f>
        <v/>
      </c>
      <c r="I800" s="26" t="str">
        <f t="shared" si="12"/>
        <v/>
      </c>
    </row>
    <row r="801" spans="2:9" x14ac:dyDescent="0.3">
      <c r="B801" s="27" t="str">
        <f>IFERROR(INDEX(Activos!$B$3:$C$16, MATCH(C801,Activos!$B$3:$B$16),2),"")</f>
        <v/>
      </c>
      <c r="C801" s="27"/>
      <c r="D801" s="27"/>
      <c r="E801" s="25"/>
      <c r="F801" s="26" t="str">
        <f>IF(E801='Tablas AR'!$B$4,1,IF('Análisis de Riesgos'!E801='Tablas AR'!$B$5,2,IF('Análisis de Riesgos'!E801='Tablas AR'!$B$6,3,"")))</f>
        <v/>
      </c>
      <c r="G801" s="25"/>
      <c r="H801" s="26" t="str">
        <f>IF(G801='Tablas AR'!$B$10,1,IF('Análisis de Riesgos'!G801='Tablas AR'!$B$11,2,IF('Análisis de Riesgos'!G801='Tablas AR'!$B$12,3,"")))</f>
        <v/>
      </c>
      <c r="I801" s="26" t="str">
        <f t="shared" si="12"/>
        <v/>
      </c>
    </row>
    <row r="802" spans="2:9" x14ac:dyDescent="0.3">
      <c r="B802" s="27" t="str">
        <f>IFERROR(INDEX(Activos!$B$3:$C$16, MATCH(C802,Activos!$B$3:$B$16),2),"")</f>
        <v/>
      </c>
      <c r="C802" s="27"/>
      <c r="D802" s="27"/>
      <c r="E802" s="25"/>
      <c r="F802" s="26" t="str">
        <f>IF(E802='Tablas AR'!$B$4,1,IF('Análisis de Riesgos'!E802='Tablas AR'!$B$5,2,IF('Análisis de Riesgos'!E802='Tablas AR'!$B$6,3,"")))</f>
        <v/>
      </c>
      <c r="G802" s="25"/>
      <c r="H802" s="26" t="str">
        <f>IF(G802='Tablas AR'!$B$10,1,IF('Análisis de Riesgos'!G802='Tablas AR'!$B$11,2,IF('Análisis de Riesgos'!G802='Tablas AR'!$B$12,3,"")))</f>
        <v/>
      </c>
      <c r="I802" s="26" t="str">
        <f t="shared" si="12"/>
        <v/>
      </c>
    </row>
    <row r="803" spans="2:9" x14ac:dyDescent="0.3">
      <c r="B803" s="27" t="str">
        <f>IFERROR(INDEX(Activos!$B$3:$C$16, MATCH(C803,Activos!$B$3:$B$16),2),"")</f>
        <v/>
      </c>
      <c r="C803" s="27"/>
      <c r="D803" s="27"/>
      <c r="E803" s="25"/>
      <c r="F803" s="26" t="str">
        <f>IF(E803='Tablas AR'!$B$4,1,IF('Análisis de Riesgos'!E803='Tablas AR'!$B$5,2,IF('Análisis de Riesgos'!E803='Tablas AR'!$B$6,3,"")))</f>
        <v/>
      </c>
      <c r="G803" s="25"/>
      <c r="H803" s="26" t="str">
        <f>IF(G803='Tablas AR'!$B$10,1,IF('Análisis de Riesgos'!G803='Tablas AR'!$B$11,2,IF('Análisis de Riesgos'!G803='Tablas AR'!$B$12,3,"")))</f>
        <v/>
      </c>
      <c r="I803" s="26" t="str">
        <f t="shared" si="12"/>
        <v/>
      </c>
    </row>
    <row r="804" spans="2:9" x14ac:dyDescent="0.3">
      <c r="B804" s="27" t="str">
        <f>IFERROR(INDEX(Activos!$B$3:$C$16, MATCH(C804,Activos!$B$3:$B$16),2),"")</f>
        <v/>
      </c>
      <c r="C804" s="27"/>
      <c r="D804" s="27"/>
      <c r="E804" s="25"/>
      <c r="F804" s="26" t="str">
        <f>IF(E804='Tablas AR'!$B$4,1,IF('Análisis de Riesgos'!E804='Tablas AR'!$B$5,2,IF('Análisis de Riesgos'!E804='Tablas AR'!$B$6,3,"")))</f>
        <v/>
      </c>
      <c r="G804" s="25"/>
      <c r="H804" s="26" t="str">
        <f>IF(G804='Tablas AR'!$B$10,1,IF('Análisis de Riesgos'!G804='Tablas AR'!$B$11,2,IF('Análisis de Riesgos'!G804='Tablas AR'!$B$12,3,"")))</f>
        <v/>
      </c>
      <c r="I804" s="26" t="str">
        <f t="shared" si="12"/>
        <v/>
      </c>
    </row>
    <row r="805" spans="2:9" x14ac:dyDescent="0.3">
      <c r="B805" s="27" t="str">
        <f>IFERROR(INDEX(Activos!$B$3:$C$16, MATCH(C805,Activos!$B$3:$B$16),2),"")</f>
        <v/>
      </c>
      <c r="C805" s="27"/>
      <c r="D805" s="27"/>
      <c r="E805" s="25"/>
      <c r="F805" s="26" t="str">
        <f>IF(E805='Tablas AR'!$B$4,1,IF('Análisis de Riesgos'!E805='Tablas AR'!$B$5,2,IF('Análisis de Riesgos'!E805='Tablas AR'!$B$6,3,"")))</f>
        <v/>
      </c>
      <c r="G805" s="25"/>
      <c r="H805" s="26" t="str">
        <f>IF(G805='Tablas AR'!$B$10,1,IF('Análisis de Riesgos'!G805='Tablas AR'!$B$11,2,IF('Análisis de Riesgos'!G805='Tablas AR'!$B$12,3,"")))</f>
        <v/>
      </c>
      <c r="I805" s="26" t="str">
        <f t="shared" si="12"/>
        <v/>
      </c>
    </row>
    <row r="806" spans="2:9" x14ac:dyDescent="0.3">
      <c r="B806" s="27" t="str">
        <f>IFERROR(INDEX(Activos!$B$3:$C$16, MATCH(C806,Activos!$B$3:$B$16),2),"")</f>
        <v/>
      </c>
      <c r="C806" s="27"/>
      <c r="D806" s="27"/>
      <c r="E806" s="25"/>
      <c r="F806" s="26" t="str">
        <f>IF(E806='Tablas AR'!$B$4,1,IF('Análisis de Riesgos'!E806='Tablas AR'!$B$5,2,IF('Análisis de Riesgos'!E806='Tablas AR'!$B$6,3,"")))</f>
        <v/>
      </c>
      <c r="G806" s="25"/>
      <c r="H806" s="26" t="str">
        <f>IF(G806='Tablas AR'!$B$10,1,IF('Análisis de Riesgos'!G806='Tablas AR'!$B$11,2,IF('Análisis de Riesgos'!G806='Tablas AR'!$B$12,3,"")))</f>
        <v/>
      </c>
      <c r="I806" s="26" t="str">
        <f t="shared" si="12"/>
        <v/>
      </c>
    </row>
    <row r="807" spans="2:9" x14ac:dyDescent="0.3">
      <c r="B807" s="27" t="str">
        <f>IFERROR(INDEX(Activos!$B$3:$C$16, MATCH(C807,Activos!$B$3:$B$16),2),"")</f>
        <v/>
      </c>
      <c r="C807" s="27"/>
      <c r="D807" s="27"/>
      <c r="E807" s="25"/>
      <c r="F807" s="26" t="str">
        <f>IF(E807='Tablas AR'!$B$4,1,IF('Análisis de Riesgos'!E807='Tablas AR'!$B$5,2,IF('Análisis de Riesgos'!E807='Tablas AR'!$B$6,3,"")))</f>
        <v/>
      </c>
      <c r="G807" s="25"/>
      <c r="H807" s="26" t="str">
        <f>IF(G807='Tablas AR'!$B$10,1,IF('Análisis de Riesgos'!G807='Tablas AR'!$B$11,2,IF('Análisis de Riesgos'!G807='Tablas AR'!$B$12,3,"")))</f>
        <v/>
      </c>
      <c r="I807" s="26" t="str">
        <f t="shared" si="12"/>
        <v/>
      </c>
    </row>
    <row r="808" spans="2:9" x14ac:dyDescent="0.3">
      <c r="B808" s="27" t="str">
        <f>IFERROR(INDEX(Activos!$B$3:$C$16, MATCH(C808,Activos!$B$3:$B$16),2),"")</f>
        <v/>
      </c>
      <c r="C808" s="27"/>
      <c r="D808" s="27"/>
      <c r="E808" s="25"/>
      <c r="F808" s="26" t="str">
        <f>IF(E808='Tablas AR'!$B$4,1,IF('Análisis de Riesgos'!E808='Tablas AR'!$B$5,2,IF('Análisis de Riesgos'!E808='Tablas AR'!$B$6,3,"")))</f>
        <v/>
      </c>
      <c r="G808" s="25"/>
      <c r="H808" s="26" t="str">
        <f>IF(G808='Tablas AR'!$B$10,1,IF('Análisis de Riesgos'!G808='Tablas AR'!$B$11,2,IF('Análisis de Riesgos'!G808='Tablas AR'!$B$12,3,"")))</f>
        <v/>
      </c>
      <c r="I808" s="26" t="str">
        <f t="shared" si="12"/>
        <v/>
      </c>
    </row>
    <row r="809" spans="2:9" x14ac:dyDescent="0.3">
      <c r="B809" s="27" t="str">
        <f>IFERROR(INDEX(Activos!$B$3:$C$16, MATCH(C809,Activos!$B$3:$B$16),2),"")</f>
        <v/>
      </c>
      <c r="C809" s="27"/>
      <c r="D809" s="27"/>
      <c r="E809" s="25"/>
      <c r="F809" s="26" t="str">
        <f>IF(E809='Tablas AR'!$B$4,1,IF('Análisis de Riesgos'!E809='Tablas AR'!$B$5,2,IF('Análisis de Riesgos'!E809='Tablas AR'!$B$6,3,"")))</f>
        <v/>
      </c>
      <c r="G809" s="25"/>
      <c r="H809" s="26" t="str">
        <f>IF(G809='Tablas AR'!$B$10,1,IF('Análisis de Riesgos'!G809='Tablas AR'!$B$11,2,IF('Análisis de Riesgos'!G809='Tablas AR'!$B$12,3,"")))</f>
        <v/>
      </c>
      <c r="I809" s="26" t="str">
        <f t="shared" si="12"/>
        <v/>
      </c>
    </row>
    <row r="810" spans="2:9" x14ac:dyDescent="0.3">
      <c r="B810" s="27" t="str">
        <f>IFERROR(INDEX(Activos!$B$3:$C$16, MATCH(C810,Activos!$B$3:$B$16),2),"")</f>
        <v/>
      </c>
      <c r="C810" s="27"/>
      <c r="D810" s="27"/>
      <c r="E810" s="25"/>
      <c r="F810" s="26" t="str">
        <f>IF(E810='Tablas AR'!$B$4,1,IF('Análisis de Riesgos'!E810='Tablas AR'!$B$5,2,IF('Análisis de Riesgos'!E810='Tablas AR'!$B$6,3,"")))</f>
        <v/>
      </c>
      <c r="G810" s="25"/>
      <c r="H810" s="26" t="str">
        <f>IF(G810='Tablas AR'!$B$10,1,IF('Análisis de Riesgos'!G810='Tablas AR'!$B$11,2,IF('Análisis de Riesgos'!G810='Tablas AR'!$B$12,3,"")))</f>
        <v/>
      </c>
      <c r="I810" s="26" t="str">
        <f t="shared" si="12"/>
        <v/>
      </c>
    </row>
    <row r="811" spans="2:9" x14ac:dyDescent="0.3">
      <c r="B811" s="27" t="str">
        <f>IFERROR(INDEX(Activos!$B$3:$C$16, MATCH(C811,Activos!$B$3:$B$16),2),"")</f>
        <v/>
      </c>
      <c r="C811" s="27"/>
      <c r="D811" s="27"/>
      <c r="E811" s="25"/>
      <c r="F811" s="26" t="str">
        <f>IF(E811='Tablas AR'!$B$4,1,IF('Análisis de Riesgos'!E811='Tablas AR'!$B$5,2,IF('Análisis de Riesgos'!E811='Tablas AR'!$B$6,3,"")))</f>
        <v/>
      </c>
      <c r="G811" s="25"/>
      <c r="H811" s="26" t="str">
        <f>IF(G811='Tablas AR'!$B$10,1,IF('Análisis de Riesgos'!G811='Tablas AR'!$B$11,2,IF('Análisis de Riesgos'!G811='Tablas AR'!$B$12,3,"")))</f>
        <v/>
      </c>
      <c r="I811" s="26" t="str">
        <f t="shared" si="12"/>
        <v/>
      </c>
    </row>
    <row r="812" spans="2:9" x14ac:dyDescent="0.3">
      <c r="B812" s="27" t="str">
        <f>IFERROR(INDEX(Activos!$B$3:$C$16, MATCH(C812,Activos!$B$3:$B$16),2),"")</f>
        <v/>
      </c>
      <c r="C812" s="27"/>
      <c r="D812" s="27"/>
      <c r="E812" s="25"/>
      <c r="F812" s="26" t="str">
        <f>IF(E812='Tablas AR'!$B$4,1,IF('Análisis de Riesgos'!E812='Tablas AR'!$B$5,2,IF('Análisis de Riesgos'!E812='Tablas AR'!$B$6,3,"")))</f>
        <v/>
      </c>
      <c r="G812" s="25"/>
      <c r="H812" s="26" t="str">
        <f>IF(G812='Tablas AR'!$B$10,1,IF('Análisis de Riesgos'!G812='Tablas AR'!$B$11,2,IF('Análisis de Riesgos'!G812='Tablas AR'!$B$12,3,"")))</f>
        <v/>
      </c>
      <c r="I812" s="26" t="str">
        <f t="shared" si="12"/>
        <v/>
      </c>
    </row>
    <row r="813" spans="2:9" x14ac:dyDescent="0.3">
      <c r="B813" s="27" t="str">
        <f>IFERROR(INDEX(Activos!$B$3:$C$16, MATCH(C813,Activos!$B$3:$B$16),2),"")</f>
        <v/>
      </c>
      <c r="C813" s="27"/>
      <c r="D813" s="27"/>
      <c r="E813" s="25"/>
      <c r="F813" s="26" t="str">
        <f>IF(E813='Tablas AR'!$B$4,1,IF('Análisis de Riesgos'!E813='Tablas AR'!$B$5,2,IF('Análisis de Riesgos'!E813='Tablas AR'!$B$6,3,"")))</f>
        <v/>
      </c>
      <c r="G813" s="25"/>
      <c r="H813" s="26" t="str">
        <f>IF(G813='Tablas AR'!$B$10,1,IF('Análisis de Riesgos'!G813='Tablas AR'!$B$11,2,IF('Análisis de Riesgos'!G813='Tablas AR'!$B$12,3,"")))</f>
        <v/>
      </c>
      <c r="I813" s="26" t="str">
        <f t="shared" si="12"/>
        <v/>
      </c>
    </row>
    <row r="814" spans="2:9" x14ac:dyDescent="0.3">
      <c r="B814" s="27" t="str">
        <f>IFERROR(INDEX(Activos!$B$3:$C$16, MATCH(C814,Activos!$B$3:$B$16),2),"")</f>
        <v/>
      </c>
      <c r="C814" s="27"/>
      <c r="D814" s="27"/>
      <c r="E814" s="25"/>
      <c r="F814" s="26" t="str">
        <f>IF(E814='Tablas AR'!$B$4,1,IF('Análisis de Riesgos'!E814='Tablas AR'!$B$5,2,IF('Análisis de Riesgos'!E814='Tablas AR'!$B$6,3,"")))</f>
        <v/>
      </c>
      <c r="G814" s="25"/>
      <c r="H814" s="26" t="str">
        <f>IF(G814='Tablas AR'!$B$10,1,IF('Análisis de Riesgos'!G814='Tablas AR'!$B$11,2,IF('Análisis de Riesgos'!G814='Tablas AR'!$B$12,3,"")))</f>
        <v/>
      </c>
      <c r="I814" s="26" t="str">
        <f t="shared" si="12"/>
        <v/>
      </c>
    </row>
    <row r="815" spans="2:9" x14ac:dyDescent="0.3">
      <c r="B815" s="27" t="str">
        <f>IFERROR(INDEX(Activos!$B$3:$C$16, MATCH(C815,Activos!$B$3:$B$16),2),"")</f>
        <v/>
      </c>
      <c r="C815" s="27"/>
      <c r="D815" s="27"/>
      <c r="E815" s="25"/>
      <c r="F815" s="26" t="str">
        <f>IF(E815='Tablas AR'!$B$4,1,IF('Análisis de Riesgos'!E815='Tablas AR'!$B$5,2,IF('Análisis de Riesgos'!E815='Tablas AR'!$B$6,3,"")))</f>
        <v/>
      </c>
      <c r="G815" s="25"/>
      <c r="H815" s="26" t="str">
        <f>IF(G815='Tablas AR'!$B$10,1,IF('Análisis de Riesgos'!G815='Tablas AR'!$B$11,2,IF('Análisis de Riesgos'!G815='Tablas AR'!$B$12,3,"")))</f>
        <v/>
      </c>
      <c r="I815" s="26" t="str">
        <f t="shared" si="12"/>
        <v/>
      </c>
    </row>
    <row r="816" spans="2:9" x14ac:dyDescent="0.3">
      <c r="B816" s="27" t="str">
        <f>IFERROR(INDEX(Activos!$B$3:$C$16, MATCH(C816,Activos!$B$3:$B$16),2),"")</f>
        <v/>
      </c>
      <c r="C816" s="27"/>
      <c r="D816" s="27"/>
      <c r="E816" s="25"/>
      <c r="F816" s="26" t="str">
        <f>IF(E816='Tablas AR'!$B$4,1,IF('Análisis de Riesgos'!E816='Tablas AR'!$B$5,2,IF('Análisis de Riesgos'!E816='Tablas AR'!$B$6,3,"")))</f>
        <v/>
      </c>
      <c r="G816" s="25"/>
      <c r="H816" s="26" t="str">
        <f>IF(G816='Tablas AR'!$B$10,1,IF('Análisis de Riesgos'!G816='Tablas AR'!$B$11,2,IF('Análisis de Riesgos'!G816='Tablas AR'!$B$12,3,"")))</f>
        <v/>
      </c>
      <c r="I816" s="26" t="str">
        <f t="shared" si="12"/>
        <v/>
      </c>
    </row>
    <row r="817" spans="2:9" x14ac:dyDescent="0.3">
      <c r="B817" s="27" t="str">
        <f>IFERROR(INDEX(Activos!$B$3:$C$16, MATCH(C817,Activos!$B$3:$B$16),2),"")</f>
        <v/>
      </c>
      <c r="C817" s="27"/>
      <c r="D817" s="27"/>
      <c r="E817" s="25"/>
      <c r="F817" s="26" t="str">
        <f>IF(E817='Tablas AR'!$B$4,1,IF('Análisis de Riesgos'!E817='Tablas AR'!$B$5,2,IF('Análisis de Riesgos'!E817='Tablas AR'!$B$6,3,"")))</f>
        <v/>
      </c>
      <c r="G817" s="25"/>
      <c r="H817" s="26" t="str">
        <f>IF(G817='Tablas AR'!$B$10,1,IF('Análisis de Riesgos'!G817='Tablas AR'!$B$11,2,IF('Análisis de Riesgos'!G817='Tablas AR'!$B$12,3,"")))</f>
        <v/>
      </c>
      <c r="I817" s="26" t="str">
        <f t="shared" si="12"/>
        <v/>
      </c>
    </row>
    <row r="818" spans="2:9" x14ac:dyDescent="0.3">
      <c r="B818" s="27" t="str">
        <f>IFERROR(INDEX(Activos!$B$3:$C$16, MATCH(C818,Activos!$B$3:$B$16),2),"")</f>
        <v/>
      </c>
      <c r="C818" s="27"/>
      <c r="D818" s="27"/>
      <c r="E818" s="25"/>
      <c r="F818" s="26" t="str">
        <f>IF(E818='Tablas AR'!$B$4,1,IF('Análisis de Riesgos'!E818='Tablas AR'!$B$5,2,IF('Análisis de Riesgos'!E818='Tablas AR'!$B$6,3,"")))</f>
        <v/>
      </c>
      <c r="G818" s="25"/>
      <c r="H818" s="26" t="str">
        <f>IF(G818='Tablas AR'!$B$10,1,IF('Análisis de Riesgos'!G818='Tablas AR'!$B$11,2,IF('Análisis de Riesgos'!G818='Tablas AR'!$B$12,3,"")))</f>
        <v/>
      </c>
      <c r="I818" s="26" t="str">
        <f t="shared" si="12"/>
        <v/>
      </c>
    </row>
    <row r="819" spans="2:9" x14ac:dyDescent="0.3">
      <c r="B819" s="27" t="str">
        <f>IFERROR(INDEX(Activos!$B$3:$C$16, MATCH(C819,Activos!$B$3:$B$16),2),"")</f>
        <v/>
      </c>
      <c r="C819" s="27"/>
      <c r="D819" s="27"/>
      <c r="E819" s="25"/>
      <c r="F819" s="26" t="str">
        <f>IF(E819='Tablas AR'!$B$4,1,IF('Análisis de Riesgos'!E819='Tablas AR'!$B$5,2,IF('Análisis de Riesgos'!E819='Tablas AR'!$B$6,3,"")))</f>
        <v/>
      </c>
      <c r="G819" s="25"/>
      <c r="H819" s="26" t="str">
        <f>IF(G819='Tablas AR'!$B$10,1,IF('Análisis de Riesgos'!G819='Tablas AR'!$B$11,2,IF('Análisis de Riesgos'!G819='Tablas AR'!$B$12,3,"")))</f>
        <v/>
      </c>
      <c r="I819" s="26" t="str">
        <f t="shared" si="12"/>
        <v/>
      </c>
    </row>
    <row r="820" spans="2:9" x14ac:dyDescent="0.3">
      <c r="B820" s="27" t="str">
        <f>IFERROR(INDEX(Activos!$B$3:$C$16, MATCH(C820,Activos!$B$3:$B$16),2),"")</f>
        <v/>
      </c>
      <c r="C820" s="27"/>
      <c r="D820" s="27"/>
      <c r="E820" s="25"/>
      <c r="F820" s="26" t="str">
        <f>IF(E820='Tablas AR'!$B$4,1,IF('Análisis de Riesgos'!E820='Tablas AR'!$B$5,2,IF('Análisis de Riesgos'!E820='Tablas AR'!$B$6,3,"")))</f>
        <v/>
      </c>
      <c r="G820" s="25"/>
      <c r="H820" s="26" t="str">
        <f>IF(G820='Tablas AR'!$B$10,1,IF('Análisis de Riesgos'!G820='Tablas AR'!$B$11,2,IF('Análisis de Riesgos'!G820='Tablas AR'!$B$12,3,"")))</f>
        <v/>
      </c>
      <c r="I820" s="26" t="str">
        <f t="shared" si="12"/>
        <v/>
      </c>
    </row>
    <row r="821" spans="2:9" x14ac:dyDescent="0.3">
      <c r="B821" s="27" t="str">
        <f>IFERROR(INDEX(Activos!$B$3:$C$16, MATCH(C821,Activos!$B$3:$B$16),2),"")</f>
        <v/>
      </c>
      <c r="C821" s="27"/>
      <c r="D821" s="27"/>
      <c r="E821" s="25"/>
      <c r="F821" s="26" t="str">
        <f>IF(E821='Tablas AR'!$B$4,1,IF('Análisis de Riesgos'!E821='Tablas AR'!$B$5,2,IF('Análisis de Riesgos'!E821='Tablas AR'!$B$6,3,"")))</f>
        <v/>
      </c>
      <c r="G821" s="25"/>
      <c r="H821" s="26" t="str">
        <f>IF(G821='Tablas AR'!$B$10,1,IF('Análisis de Riesgos'!G821='Tablas AR'!$B$11,2,IF('Análisis de Riesgos'!G821='Tablas AR'!$B$12,3,"")))</f>
        <v/>
      </c>
      <c r="I821" s="26" t="str">
        <f t="shared" si="12"/>
        <v/>
      </c>
    </row>
    <row r="822" spans="2:9" x14ac:dyDescent="0.3">
      <c r="B822" s="27" t="str">
        <f>IFERROR(INDEX(Activos!$B$3:$C$16, MATCH(C822,Activos!$B$3:$B$16),2),"")</f>
        <v/>
      </c>
      <c r="C822" s="27"/>
      <c r="D822" s="27"/>
      <c r="E822" s="25"/>
      <c r="F822" s="26" t="str">
        <f>IF(E822='Tablas AR'!$B$4,1,IF('Análisis de Riesgos'!E822='Tablas AR'!$B$5,2,IF('Análisis de Riesgos'!E822='Tablas AR'!$B$6,3,"")))</f>
        <v/>
      </c>
      <c r="G822" s="25"/>
      <c r="H822" s="26" t="str">
        <f>IF(G822='Tablas AR'!$B$10,1,IF('Análisis de Riesgos'!G822='Tablas AR'!$B$11,2,IF('Análisis de Riesgos'!G822='Tablas AR'!$B$12,3,"")))</f>
        <v/>
      </c>
      <c r="I822" s="26" t="str">
        <f t="shared" si="12"/>
        <v/>
      </c>
    </row>
    <row r="823" spans="2:9" x14ac:dyDescent="0.3">
      <c r="B823" s="27" t="str">
        <f>IFERROR(INDEX(Activos!$B$3:$C$16, MATCH(C823,Activos!$B$3:$B$16),2),"")</f>
        <v/>
      </c>
      <c r="C823" s="27"/>
      <c r="D823" s="27"/>
      <c r="E823" s="25"/>
      <c r="F823" s="26" t="str">
        <f>IF(E823='Tablas AR'!$B$4,1,IF('Análisis de Riesgos'!E823='Tablas AR'!$B$5,2,IF('Análisis de Riesgos'!E823='Tablas AR'!$B$6,3,"")))</f>
        <v/>
      </c>
      <c r="G823" s="25"/>
      <c r="H823" s="26" t="str">
        <f>IF(G823='Tablas AR'!$B$10,1,IF('Análisis de Riesgos'!G823='Tablas AR'!$B$11,2,IF('Análisis de Riesgos'!G823='Tablas AR'!$B$12,3,"")))</f>
        <v/>
      </c>
      <c r="I823" s="26" t="str">
        <f t="shared" si="12"/>
        <v/>
      </c>
    </row>
    <row r="824" spans="2:9" x14ac:dyDescent="0.3">
      <c r="B824" s="27" t="str">
        <f>IFERROR(INDEX(Activos!$B$3:$C$16, MATCH(C824,Activos!$B$3:$B$16),2),"")</f>
        <v/>
      </c>
      <c r="C824" s="27"/>
      <c r="D824" s="27"/>
      <c r="E824" s="25"/>
      <c r="F824" s="26" t="str">
        <f>IF(E824='Tablas AR'!$B$4,1,IF('Análisis de Riesgos'!E824='Tablas AR'!$B$5,2,IF('Análisis de Riesgos'!E824='Tablas AR'!$B$6,3,"")))</f>
        <v/>
      </c>
      <c r="G824" s="25"/>
      <c r="H824" s="26" t="str">
        <f>IF(G824='Tablas AR'!$B$10,1,IF('Análisis de Riesgos'!G824='Tablas AR'!$B$11,2,IF('Análisis de Riesgos'!G824='Tablas AR'!$B$12,3,"")))</f>
        <v/>
      </c>
      <c r="I824" s="26" t="str">
        <f t="shared" si="12"/>
        <v/>
      </c>
    </row>
    <row r="825" spans="2:9" x14ac:dyDescent="0.3">
      <c r="B825" s="27" t="str">
        <f>IFERROR(INDEX(Activos!$B$3:$C$16, MATCH(C825,Activos!$B$3:$B$16),2),"")</f>
        <v/>
      </c>
      <c r="C825" s="27"/>
      <c r="D825" s="27"/>
      <c r="E825" s="25"/>
      <c r="F825" s="26" t="str">
        <f>IF(E825='Tablas AR'!$B$4,1,IF('Análisis de Riesgos'!E825='Tablas AR'!$B$5,2,IF('Análisis de Riesgos'!E825='Tablas AR'!$B$6,3,"")))</f>
        <v/>
      </c>
      <c r="G825" s="25"/>
      <c r="H825" s="26" t="str">
        <f>IF(G825='Tablas AR'!$B$10,1,IF('Análisis de Riesgos'!G825='Tablas AR'!$B$11,2,IF('Análisis de Riesgos'!G825='Tablas AR'!$B$12,3,"")))</f>
        <v/>
      </c>
      <c r="I825" s="26" t="str">
        <f t="shared" si="12"/>
        <v/>
      </c>
    </row>
    <row r="826" spans="2:9" x14ac:dyDescent="0.3">
      <c r="B826" s="27" t="str">
        <f>IFERROR(INDEX(Activos!$B$3:$C$16, MATCH(C826,Activos!$B$3:$B$16),2),"")</f>
        <v/>
      </c>
      <c r="C826" s="27"/>
      <c r="D826" s="27"/>
      <c r="E826" s="25"/>
      <c r="F826" s="26" t="str">
        <f>IF(E826='Tablas AR'!$B$4,1,IF('Análisis de Riesgos'!E826='Tablas AR'!$B$5,2,IF('Análisis de Riesgos'!E826='Tablas AR'!$B$6,3,"")))</f>
        <v/>
      </c>
      <c r="G826" s="25"/>
      <c r="H826" s="26" t="str">
        <f>IF(G826='Tablas AR'!$B$10,1,IF('Análisis de Riesgos'!G826='Tablas AR'!$B$11,2,IF('Análisis de Riesgos'!G826='Tablas AR'!$B$12,3,"")))</f>
        <v/>
      </c>
      <c r="I826" s="26" t="str">
        <f t="shared" si="12"/>
        <v/>
      </c>
    </row>
    <row r="827" spans="2:9" x14ac:dyDescent="0.3">
      <c r="B827" s="27" t="str">
        <f>IFERROR(INDEX(Activos!$B$3:$C$16, MATCH(C827,Activos!$B$3:$B$16),2),"")</f>
        <v/>
      </c>
      <c r="C827" s="27"/>
      <c r="D827" s="27"/>
      <c r="E827" s="25"/>
      <c r="F827" s="26" t="str">
        <f>IF(E827='Tablas AR'!$B$4,1,IF('Análisis de Riesgos'!E827='Tablas AR'!$B$5,2,IF('Análisis de Riesgos'!E827='Tablas AR'!$B$6,3,"")))</f>
        <v/>
      </c>
      <c r="G827" s="25"/>
      <c r="H827" s="26" t="str">
        <f>IF(G827='Tablas AR'!$B$10,1,IF('Análisis de Riesgos'!G827='Tablas AR'!$B$11,2,IF('Análisis de Riesgos'!G827='Tablas AR'!$B$12,3,"")))</f>
        <v/>
      </c>
      <c r="I827" s="26" t="str">
        <f t="shared" si="12"/>
        <v/>
      </c>
    </row>
    <row r="828" spans="2:9" x14ac:dyDescent="0.3">
      <c r="B828" s="27" t="str">
        <f>IFERROR(INDEX(Activos!$B$3:$C$16, MATCH(C828,Activos!$B$3:$B$16),2),"")</f>
        <v/>
      </c>
      <c r="C828" s="27"/>
      <c r="D828" s="27"/>
      <c r="E828" s="25"/>
      <c r="F828" s="26" t="str">
        <f>IF(E828='Tablas AR'!$B$4,1,IF('Análisis de Riesgos'!E828='Tablas AR'!$B$5,2,IF('Análisis de Riesgos'!E828='Tablas AR'!$B$6,3,"")))</f>
        <v/>
      </c>
      <c r="G828" s="25"/>
      <c r="H828" s="26" t="str">
        <f>IF(G828='Tablas AR'!$B$10,1,IF('Análisis de Riesgos'!G828='Tablas AR'!$B$11,2,IF('Análisis de Riesgos'!G828='Tablas AR'!$B$12,3,"")))</f>
        <v/>
      </c>
      <c r="I828" s="26" t="str">
        <f t="shared" si="12"/>
        <v/>
      </c>
    </row>
    <row r="829" spans="2:9" x14ac:dyDescent="0.3">
      <c r="B829" s="27" t="str">
        <f>IFERROR(INDEX(Activos!$B$3:$C$16, MATCH(C829,Activos!$B$3:$B$16),2),"")</f>
        <v/>
      </c>
      <c r="C829" s="27"/>
      <c r="D829" s="27"/>
      <c r="E829" s="25"/>
      <c r="F829" s="26" t="str">
        <f>IF(E829='Tablas AR'!$B$4,1,IF('Análisis de Riesgos'!E829='Tablas AR'!$B$5,2,IF('Análisis de Riesgos'!E829='Tablas AR'!$B$6,3,"")))</f>
        <v/>
      </c>
      <c r="G829" s="25"/>
      <c r="H829" s="26" t="str">
        <f>IF(G829='Tablas AR'!$B$10,1,IF('Análisis de Riesgos'!G829='Tablas AR'!$B$11,2,IF('Análisis de Riesgos'!G829='Tablas AR'!$B$12,3,"")))</f>
        <v/>
      </c>
      <c r="I829" s="26" t="str">
        <f t="shared" si="12"/>
        <v/>
      </c>
    </row>
    <row r="830" spans="2:9" x14ac:dyDescent="0.3">
      <c r="B830" s="27" t="str">
        <f>IFERROR(INDEX(Activos!$B$3:$C$16, MATCH(C830,Activos!$B$3:$B$16),2),"")</f>
        <v/>
      </c>
      <c r="C830" s="27"/>
      <c r="D830" s="27"/>
      <c r="E830" s="25"/>
      <c r="F830" s="26" t="str">
        <f>IF(E830='Tablas AR'!$B$4,1,IF('Análisis de Riesgos'!E830='Tablas AR'!$B$5,2,IF('Análisis de Riesgos'!E830='Tablas AR'!$B$6,3,"")))</f>
        <v/>
      </c>
      <c r="G830" s="25"/>
      <c r="H830" s="26" t="str">
        <f>IF(G830='Tablas AR'!$B$10,1,IF('Análisis de Riesgos'!G830='Tablas AR'!$B$11,2,IF('Análisis de Riesgos'!G830='Tablas AR'!$B$12,3,"")))</f>
        <v/>
      </c>
      <c r="I830" s="26" t="str">
        <f t="shared" si="12"/>
        <v/>
      </c>
    </row>
    <row r="831" spans="2:9" x14ac:dyDescent="0.3">
      <c r="B831" s="27" t="str">
        <f>IFERROR(INDEX(Activos!$B$3:$C$16, MATCH(C831,Activos!$B$3:$B$16),2),"")</f>
        <v/>
      </c>
      <c r="C831" s="27"/>
      <c r="D831" s="27"/>
      <c r="E831" s="25"/>
      <c r="F831" s="26" t="str">
        <f>IF(E831='Tablas AR'!$B$4,1,IF('Análisis de Riesgos'!E831='Tablas AR'!$B$5,2,IF('Análisis de Riesgos'!E831='Tablas AR'!$B$6,3,"")))</f>
        <v/>
      </c>
      <c r="G831" s="25"/>
      <c r="H831" s="26" t="str">
        <f>IF(G831='Tablas AR'!$B$10,1,IF('Análisis de Riesgos'!G831='Tablas AR'!$B$11,2,IF('Análisis de Riesgos'!G831='Tablas AR'!$B$12,3,"")))</f>
        <v/>
      </c>
      <c r="I831" s="26" t="str">
        <f t="shared" si="12"/>
        <v/>
      </c>
    </row>
    <row r="832" spans="2:9" x14ac:dyDescent="0.3">
      <c r="B832" s="27" t="str">
        <f>IFERROR(INDEX(Activos!$B$3:$C$16, MATCH(C832,Activos!$B$3:$B$16),2),"")</f>
        <v/>
      </c>
      <c r="C832" s="27"/>
      <c r="D832" s="27"/>
      <c r="E832" s="25"/>
      <c r="F832" s="26" t="str">
        <f>IF(E832='Tablas AR'!$B$4,1,IF('Análisis de Riesgos'!E832='Tablas AR'!$B$5,2,IF('Análisis de Riesgos'!E832='Tablas AR'!$B$6,3,"")))</f>
        <v/>
      </c>
      <c r="G832" s="25"/>
      <c r="H832" s="26" t="str">
        <f>IF(G832='Tablas AR'!$B$10,1,IF('Análisis de Riesgos'!G832='Tablas AR'!$B$11,2,IF('Análisis de Riesgos'!G832='Tablas AR'!$B$12,3,"")))</f>
        <v/>
      </c>
      <c r="I832" s="26" t="str">
        <f t="shared" si="12"/>
        <v/>
      </c>
    </row>
    <row r="833" spans="2:9" x14ac:dyDescent="0.3">
      <c r="B833" s="27" t="str">
        <f>IFERROR(INDEX(Activos!$B$3:$C$16, MATCH(C833,Activos!$B$3:$B$16),2),"")</f>
        <v/>
      </c>
      <c r="C833" s="27"/>
      <c r="D833" s="27"/>
      <c r="E833" s="25"/>
      <c r="F833" s="26" t="str">
        <f>IF(E833='Tablas AR'!$B$4,1,IF('Análisis de Riesgos'!E833='Tablas AR'!$B$5,2,IF('Análisis de Riesgos'!E833='Tablas AR'!$B$6,3,"")))</f>
        <v/>
      </c>
      <c r="G833" s="25"/>
      <c r="H833" s="26" t="str">
        <f>IF(G833='Tablas AR'!$B$10,1,IF('Análisis de Riesgos'!G833='Tablas AR'!$B$11,2,IF('Análisis de Riesgos'!G833='Tablas AR'!$B$12,3,"")))</f>
        <v/>
      </c>
      <c r="I833" s="26" t="str">
        <f t="shared" si="12"/>
        <v/>
      </c>
    </row>
    <row r="834" spans="2:9" x14ac:dyDescent="0.3">
      <c r="B834" s="27" t="str">
        <f>IFERROR(INDEX(Activos!$B$3:$C$16, MATCH(C834,Activos!$B$3:$B$16),2),"")</f>
        <v/>
      </c>
      <c r="C834" s="27"/>
      <c r="D834" s="27"/>
      <c r="E834" s="25"/>
      <c r="F834" s="26" t="str">
        <f>IF(E834='Tablas AR'!$B$4,1,IF('Análisis de Riesgos'!E834='Tablas AR'!$B$5,2,IF('Análisis de Riesgos'!E834='Tablas AR'!$B$6,3,"")))</f>
        <v/>
      </c>
      <c r="G834" s="25"/>
      <c r="H834" s="26" t="str">
        <f>IF(G834='Tablas AR'!$B$10,1,IF('Análisis de Riesgos'!G834='Tablas AR'!$B$11,2,IF('Análisis de Riesgos'!G834='Tablas AR'!$B$12,3,"")))</f>
        <v/>
      </c>
      <c r="I834" s="26" t="str">
        <f t="shared" si="12"/>
        <v/>
      </c>
    </row>
    <row r="835" spans="2:9" x14ac:dyDescent="0.3">
      <c r="B835" s="27" t="str">
        <f>IFERROR(INDEX(Activos!$B$3:$C$16, MATCH(C835,Activos!$B$3:$B$16),2),"")</f>
        <v/>
      </c>
      <c r="C835" s="27"/>
      <c r="D835" s="27"/>
      <c r="E835" s="25"/>
      <c r="F835" s="26" t="str">
        <f>IF(E835='Tablas AR'!$B$4,1,IF('Análisis de Riesgos'!E835='Tablas AR'!$B$5,2,IF('Análisis de Riesgos'!E835='Tablas AR'!$B$6,3,"")))</f>
        <v/>
      </c>
      <c r="G835" s="25"/>
      <c r="H835" s="26" t="str">
        <f>IF(G835='Tablas AR'!$B$10,1,IF('Análisis de Riesgos'!G835='Tablas AR'!$B$11,2,IF('Análisis de Riesgos'!G835='Tablas AR'!$B$12,3,"")))</f>
        <v/>
      </c>
      <c r="I835" s="26" t="str">
        <f t="shared" si="12"/>
        <v/>
      </c>
    </row>
    <row r="836" spans="2:9" x14ac:dyDescent="0.3">
      <c r="B836" s="27" t="str">
        <f>IFERROR(INDEX(Activos!$B$3:$C$16, MATCH(C836,Activos!$B$3:$B$16),2),"")</f>
        <v/>
      </c>
      <c r="C836" s="27"/>
      <c r="D836" s="27"/>
      <c r="E836" s="25"/>
      <c r="F836" s="26" t="str">
        <f>IF(E836='Tablas AR'!$B$4,1,IF('Análisis de Riesgos'!E836='Tablas AR'!$B$5,2,IF('Análisis de Riesgos'!E836='Tablas AR'!$B$6,3,"")))</f>
        <v/>
      </c>
      <c r="G836" s="25"/>
      <c r="H836" s="26" t="str">
        <f>IF(G836='Tablas AR'!$B$10,1,IF('Análisis de Riesgos'!G836='Tablas AR'!$B$11,2,IF('Análisis de Riesgos'!G836='Tablas AR'!$B$12,3,"")))</f>
        <v/>
      </c>
      <c r="I836" s="26" t="str">
        <f t="shared" ref="I836:I899" si="13" xml:space="preserve"> IFERROR(F836*H836,"")</f>
        <v/>
      </c>
    </row>
    <row r="837" spans="2:9" x14ac:dyDescent="0.3">
      <c r="B837" s="27" t="str">
        <f>IFERROR(INDEX(Activos!$B$3:$C$16, MATCH(C837,Activos!$B$3:$B$16),2),"")</f>
        <v/>
      </c>
      <c r="C837" s="27"/>
      <c r="D837" s="27"/>
      <c r="E837" s="25"/>
      <c r="F837" s="26" t="str">
        <f>IF(E837='Tablas AR'!$B$4,1,IF('Análisis de Riesgos'!E837='Tablas AR'!$B$5,2,IF('Análisis de Riesgos'!E837='Tablas AR'!$B$6,3,"")))</f>
        <v/>
      </c>
      <c r="G837" s="25"/>
      <c r="H837" s="26" t="str">
        <f>IF(G837='Tablas AR'!$B$10,1,IF('Análisis de Riesgos'!G837='Tablas AR'!$B$11,2,IF('Análisis de Riesgos'!G837='Tablas AR'!$B$12,3,"")))</f>
        <v/>
      </c>
      <c r="I837" s="26" t="str">
        <f t="shared" si="13"/>
        <v/>
      </c>
    </row>
    <row r="838" spans="2:9" x14ac:dyDescent="0.3">
      <c r="B838" s="27" t="str">
        <f>IFERROR(INDEX(Activos!$B$3:$C$16, MATCH(C838,Activos!$B$3:$B$16),2),"")</f>
        <v/>
      </c>
      <c r="C838" s="27"/>
      <c r="D838" s="27"/>
      <c r="E838" s="25"/>
      <c r="F838" s="26" t="str">
        <f>IF(E838='Tablas AR'!$B$4,1,IF('Análisis de Riesgos'!E838='Tablas AR'!$B$5,2,IF('Análisis de Riesgos'!E838='Tablas AR'!$B$6,3,"")))</f>
        <v/>
      </c>
      <c r="G838" s="25"/>
      <c r="H838" s="26" t="str">
        <f>IF(G838='Tablas AR'!$B$10,1,IF('Análisis de Riesgos'!G838='Tablas AR'!$B$11,2,IF('Análisis de Riesgos'!G838='Tablas AR'!$B$12,3,"")))</f>
        <v/>
      </c>
      <c r="I838" s="26" t="str">
        <f t="shared" si="13"/>
        <v/>
      </c>
    </row>
    <row r="839" spans="2:9" x14ac:dyDescent="0.3">
      <c r="B839" s="27" t="str">
        <f>IFERROR(INDEX(Activos!$B$3:$C$16, MATCH(C839,Activos!$B$3:$B$16),2),"")</f>
        <v/>
      </c>
      <c r="C839" s="27"/>
      <c r="D839" s="27"/>
      <c r="E839" s="25"/>
      <c r="F839" s="26" t="str">
        <f>IF(E839='Tablas AR'!$B$4,1,IF('Análisis de Riesgos'!E839='Tablas AR'!$B$5,2,IF('Análisis de Riesgos'!E839='Tablas AR'!$B$6,3,"")))</f>
        <v/>
      </c>
      <c r="G839" s="25"/>
      <c r="H839" s="26" t="str">
        <f>IF(G839='Tablas AR'!$B$10,1,IF('Análisis de Riesgos'!G839='Tablas AR'!$B$11,2,IF('Análisis de Riesgos'!G839='Tablas AR'!$B$12,3,"")))</f>
        <v/>
      </c>
      <c r="I839" s="26" t="str">
        <f t="shared" si="13"/>
        <v/>
      </c>
    </row>
    <row r="840" spans="2:9" x14ac:dyDescent="0.3">
      <c r="B840" s="27" t="str">
        <f>IFERROR(INDEX(Activos!$B$3:$C$16, MATCH(C840,Activos!$B$3:$B$16),2),"")</f>
        <v/>
      </c>
      <c r="C840" s="27"/>
      <c r="D840" s="27"/>
      <c r="E840" s="25"/>
      <c r="F840" s="26" t="str">
        <f>IF(E840='Tablas AR'!$B$4,1,IF('Análisis de Riesgos'!E840='Tablas AR'!$B$5,2,IF('Análisis de Riesgos'!E840='Tablas AR'!$B$6,3,"")))</f>
        <v/>
      </c>
      <c r="G840" s="25"/>
      <c r="H840" s="26" t="str">
        <f>IF(G840='Tablas AR'!$B$10,1,IF('Análisis de Riesgos'!G840='Tablas AR'!$B$11,2,IF('Análisis de Riesgos'!G840='Tablas AR'!$B$12,3,"")))</f>
        <v/>
      </c>
      <c r="I840" s="26" t="str">
        <f t="shared" si="13"/>
        <v/>
      </c>
    </row>
    <row r="841" spans="2:9" x14ac:dyDescent="0.3">
      <c r="B841" s="27" t="str">
        <f>IFERROR(INDEX(Activos!$B$3:$C$16, MATCH(C841,Activos!$B$3:$B$16),2),"")</f>
        <v/>
      </c>
      <c r="C841" s="27"/>
      <c r="D841" s="27"/>
      <c r="E841" s="25"/>
      <c r="F841" s="26" t="str">
        <f>IF(E841='Tablas AR'!$B$4,1,IF('Análisis de Riesgos'!E841='Tablas AR'!$B$5,2,IF('Análisis de Riesgos'!E841='Tablas AR'!$B$6,3,"")))</f>
        <v/>
      </c>
      <c r="G841" s="25"/>
      <c r="H841" s="26" t="str">
        <f>IF(G841='Tablas AR'!$B$10,1,IF('Análisis de Riesgos'!G841='Tablas AR'!$B$11,2,IF('Análisis de Riesgos'!G841='Tablas AR'!$B$12,3,"")))</f>
        <v/>
      </c>
      <c r="I841" s="26" t="str">
        <f t="shared" si="13"/>
        <v/>
      </c>
    </row>
    <row r="842" spans="2:9" x14ac:dyDescent="0.3">
      <c r="B842" s="27" t="str">
        <f>IFERROR(INDEX(Activos!$B$3:$C$16, MATCH(C842,Activos!$B$3:$B$16),2),"")</f>
        <v/>
      </c>
      <c r="C842" s="27"/>
      <c r="D842" s="27"/>
      <c r="E842" s="25"/>
      <c r="F842" s="26" t="str">
        <f>IF(E842='Tablas AR'!$B$4,1,IF('Análisis de Riesgos'!E842='Tablas AR'!$B$5,2,IF('Análisis de Riesgos'!E842='Tablas AR'!$B$6,3,"")))</f>
        <v/>
      </c>
      <c r="G842" s="25"/>
      <c r="H842" s="26" t="str">
        <f>IF(G842='Tablas AR'!$B$10,1,IF('Análisis de Riesgos'!G842='Tablas AR'!$B$11,2,IF('Análisis de Riesgos'!G842='Tablas AR'!$B$12,3,"")))</f>
        <v/>
      </c>
      <c r="I842" s="26" t="str">
        <f t="shared" si="13"/>
        <v/>
      </c>
    </row>
    <row r="843" spans="2:9" x14ac:dyDescent="0.3">
      <c r="B843" s="27" t="str">
        <f>IFERROR(INDEX(Activos!$B$3:$C$16, MATCH(C843,Activos!$B$3:$B$16),2),"")</f>
        <v/>
      </c>
      <c r="C843" s="27"/>
      <c r="D843" s="27"/>
      <c r="E843" s="25"/>
      <c r="F843" s="26" t="str">
        <f>IF(E843='Tablas AR'!$B$4,1,IF('Análisis de Riesgos'!E843='Tablas AR'!$B$5,2,IF('Análisis de Riesgos'!E843='Tablas AR'!$B$6,3,"")))</f>
        <v/>
      </c>
      <c r="G843" s="25"/>
      <c r="H843" s="26" t="str">
        <f>IF(G843='Tablas AR'!$B$10,1,IF('Análisis de Riesgos'!G843='Tablas AR'!$B$11,2,IF('Análisis de Riesgos'!G843='Tablas AR'!$B$12,3,"")))</f>
        <v/>
      </c>
      <c r="I843" s="26" t="str">
        <f t="shared" si="13"/>
        <v/>
      </c>
    </row>
    <row r="844" spans="2:9" x14ac:dyDescent="0.3">
      <c r="B844" s="27" t="str">
        <f>IFERROR(INDEX(Activos!$B$3:$C$16, MATCH(C844,Activos!$B$3:$B$16),2),"")</f>
        <v/>
      </c>
      <c r="C844" s="27"/>
      <c r="D844" s="27"/>
      <c r="E844" s="25"/>
      <c r="F844" s="26" t="str">
        <f>IF(E844='Tablas AR'!$B$4,1,IF('Análisis de Riesgos'!E844='Tablas AR'!$B$5,2,IF('Análisis de Riesgos'!E844='Tablas AR'!$B$6,3,"")))</f>
        <v/>
      </c>
      <c r="G844" s="25"/>
      <c r="H844" s="26" t="str">
        <f>IF(G844='Tablas AR'!$B$10,1,IF('Análisis de Riesgos'!G844='Tablas AR'!$B$11,2,IF('Análisis de Riesgos'!G844='Tablas AR'!$B$12,3,"")))</f>
        <v/>
      </c>
      <c r="I844" s="26" t="str">
        <f t="shared" si="13"/>
        <v/>
      </c>
    </row>
    <row r="845" spans="2:9" x14ac:dyDescent="0.3">
      <c r="B845" s="27" t="str">
        <f>IFERROR(INDEX(Activos!$B$3:$C$16, MATCH(C845,Activos!$B$3:$B$16),2),"")</f>
        <v/>
      </c>
      <c r="C845" s="27"/>
      <c r="D845" s="27"/>
      <c r="E845" s="25"/>
      <c r="F845" s="26" t="str">
        <f>IF(E845='Tablas AR'!$B$4,1,IF('Análisis de Riesgos'!E845='Tablas AR'!$B$5,2,IF('Análisis de Riesgos'!E845='Tablas AR'!$B$6,3,"")))</f>
        <v/>
      </c>
      <c r="G845" s="25"/>
      <c r="H845" s="26" t="str">
        <f>IF(G845='Tablas AR'!$B$10,1,IF('Análisis de Riesgos'!G845='Tablas AR'!$B$11,2,IF('Análisis de Riesgos'!G845='Tablas AR'!$B$12,3,"")))</f>
        <v/>
      </c>
      <c r="I845" s="26" t="str">
        <f t="shared" si="13"/>
        <v/>
      </c>
    </row>
    <row r="846" spans="2:9" x14ac:dyDescent="0.3">
      <c r="B846" s="27" t="str">
        <f>IFERROR(INDEX(Activos!$B$3:$C$16, MATCH(C846,Activos!$B$3:$B$16),2),"")</f>
        <v/>
      </c>
      <c r="C846" s="27"/>
      <c r="D846" s="27"/>
      <c r="E846" s="25"/>
      <c r="F846" s="26" t="str">
        <f>IF(E846='Tablas AR'!$B$4,1,IF('Análisis de Riesgos'!E846='Tablas AR'!$B$5,2,IF('Análisis de Riesgos'!E846='Tablas AR'!$B$6,3,"")))</f>
        <v/>
      </c>
      <c r="G846" s="25"/>
      <c r="H846" s="26" t="str">
        <f>IF(G846='Tablas AR'!$B$10,1,IF('Análisis de Riesgos'!G846='Tablas AR'!$B$11,2,IF('Análisis de Riesgos'!G846='Tablas AR'!$B$12,3,"")))</f>
        <v/>
      </c>
      <c r="I846" s="26" t="str">
        <f t="shared" si="13"/>
        <v/>
      </c>
    </row>
    <row r="847" spans="2:9" x14ac:dyDescent="0.3">
      <c r="B847" s="27" t="str">
        <f>IFERROR(INDEX(Activos!$B$3:$C$16, MATCH(C847,Activos!$B$3:$B$16),2),"")</f>
        <v/>
      </c>
      <c r="C847" s="27"/>
      <c r="D847" s="27"/>
      <c r="E847" s="25"/>
      <c r="F847" s="26" t="str">
        <f>IF(E847='Tablas AR'!$B$4,1,IF('Análisis de Riesgos'!E847='Tablas AR'!$B$5,2,IF('Análisis de Riesgos'!E847='Tablas AR'!$B$6,3,"")))</f>
        <v/>
      </c>
      <c r="G847" s="25"/>
      <c r="H847" s="26" t="str">
        <f>IF(G847='Tablas AR'!$B$10,1,IF('Análisis de Riesgos'!G847='Tablas AR'!$B$11,2,IF('Análisis de Riesgos'!G847='Tablas AR'!$B$12,3,"")))</f>
        <v/>
      </c>
      <c r="I847" s="26" t="str">
        <f t="shared" si="13"/>
        <v/>
      </c>
    </row>
    <row r="848" spans="2:9" x14ac:dyDescent="0.3">
      <c r="B848" s="27" t="str">
        <f>IFERROR(INDEX(Activos!$B$3:$C$16, MATCH(C848,Activos!$B$3:$B$16),2),"")</f>
        <v/>
      </c>
      <c r="C848" s="27"/>
      <c r="D848" s="27"/>
      <c r="E848" s="25"/>
      <c r="F848" s="26" t="str">
        <f>IF(E848='Tablas AR'!$B$4,1,IF('Análisis de Riesgos'!E848='Tablas AR'!$B$5,2,IF('Análisis de Riesgos'!E848='Tablas AR'!$B$6,3,"")))</f>
        <v/>
      </c>
      <c r="G848" s="25"/>
      <c r="H848" s="26" t="str">
        <f>IF(G848='Tablas AR'!$B$10,1,IF('Análisis de Riesgos'!G848='Tablas AR'!$B$11,2,IF('Análisis de Riesgos'!G848='Tablas AR'!$B$12,3,"")))</f>
        <v/>
      </c>
      <c r="I848" s="26" t="str">
        <f t="shared" si="13"/>
        <v/>
      </c>
    </row>
    <row r="849" spans="2:9" x14ac:dyDescent="0.3">
      <c r="B849" s="27" t="str">
        <f>IFERROR(INDEX(Activos!$B$3:$C$16, MATCH(C849,Activos!$B$3:$B$16),2),"")</f>
        <v/>
      </c>
      <c r="C849" s="27"/>
      <c r="D849" s="27"/>
      <c r="E849" s="25"/>
      <c r="F849" s="26" t="str">
        <f>IF(E849='Tablas AR'!$B$4,1,IF('Análisis de Riesgos'!E849='Tablas AR'!$B$5,2,IF('Análisis de Riesgos'!E849='Tablas AR'!$B$6,3,"")))</f>
        <v/>
      </c>
      <c r="G849" s="25"/>
      <c r="H849" s="26" t="str">
        <f>IF(G849='Tablas AR'!$B$10,1,IF('Análisis de Riesgos'!G849='Tablas AR'!$B$11,2,IF('Análisis de Riesgos'!G849='Tablas AR'!$B$12,3,"")))</f>
        <v/>
      </c>
      <c r="I849" s="26" t="str">
        <f t="shared" si="13"/>
        <v/>
      </c>
    </row>
    <row r="850" spans="2:9" x14ac:dyDescent="0.3">
      <c r="B850" s="27" t="str">
        <f>IFERROR(INDEX(Activos!$B$3:$C$16, MATCH(C850,Activos!$B$3:$B$16),2),"")</f>
        <v/>
      </c>
      <c r="C850" s="27"/>
      <c r="D850" s="27"/>
      <c r="E850" s="25"/>
      <c r="F850" s="26" t="str">
        <f>IF(E850='Tablas AR'!$B$4,1,IF('Análisis de Riesgos'!E850='Tablas AR'!$B$5,2,IF('Análisis de Riesgos'!E850='Tablas AR'!$B$6,3,"")))</f>
        <v/>
      </c>
      <c r="G850" s="25"/>
      <c r="H850" s="26" t="str">
        <f>IF(G850='Tablas AR'!$B$10,1,IF('Análisis de Riesgos'!G850='Tablas AR'!$B$11,2,IF('Análisis de Riesgos'!G850='Tablas AR'!$B$12,3,"")))</f>
        <v/>
      </c>
      <c r="I850" s="26" t="str">
        <f t="shared" si="13"/>
        <v/>
      </c>
    </row>
    <row r="851" spans="2:9" x14ac:dyDescent="0.3">
      <c r="B851" s="27" t="str">
        <f>IFERROR(INDEX(Activos!$B$3:$C$16, MATCH(C851,Activos!$B$3:$B$16),2),"")</f>
        <v/>
      </c>
      <c r="C851" s="27"/>
      <c r="D851" s="27"/>
      <c r="E851" s="25"/>
      <c r="F851" s="26" t="str">
        <f>IF(E851='Tablas AR'!$B$4,1,IF('Análisis de Riesgos'!E851='Tablas AR'!$B$5,2,IF('Análisis de Riesgos'!E851='Tablas AR'!$B$6,3,"")))</f>
        <v/>
      </c>
      <c r="G851" s="25"/>
      <c r="H851" s="26" t="str">
        <f>IF(G851='Tablas AR'!$B$10,1,IF('Análisis de Riesgos'!G851='Tablas AR'!$B$11,2,IF('Análisis de Riesgos'!G851='Tablas AR'!$B$12,3,"")))</f>
        <v/>
      </c>
      <c r="I851" s="26" t="str">
        <f t="shared" si="13"/>
        <v/>
      </c>
    </row>
    <row r="852" spans="2:9" x14ac:dyDescent="0.3">
      <c r="B852" s="27" t="str">
        <f>IFERROR(INDEX(Activos!$B$3:$C$16, MATCH(C852,Activos!$B$3:$B$16),2),"")</f>
        <v/>
      </c>
      <c r="C852" s="27"/>
      <c r="D852" s="27"/>
      <c r="E852" s="25"/>
      <c r="F852" s="26" t="str">
        <f>IF(E852='Tablas AR'!$B$4,1,IF('Análisis de Riesgos'!E852='Tablas AR'!$B$5,2,IF('Análisis de Riesgos'!E852='Tablas AR'!$B$6,3,"")))</f>
        <v/>
      </c>
      <c r="G852" s="25"/>
      <c r="H852" s="26" t="str">
        <f>IF(G852='Tablas AR'!$B$10,1,IF('Análisis de Riesgos'!G852='Tablas AR'!$B$11,2,IF('Análisis de Riesgos'!G852='Tablas AR'!$B$12,3,"")))</f>
        <v/>
      </c>
      <c r="I852" s="26" t="str">
        <f t="shared" si="13"/>
        <v/>
      </c>
    </row>
    <row r="853" spans="2:9" x14ac:dyDescent="0.3">
      <c r="B853" s="27" t="str">
        <f>IFERROR(INDEX(Activos!$B$3:$C$16, MATCH(C853,Activos!$B$3:$B$16),2),"")</f>
        <v/>
      </c>
      <c r="C853" s="27"/>
      <c r="D853" s="27"/>
      <c r="E853" s="25"/>
      <c r="F853" s="26" t="str">
        <f>IF(E853='Tablas AR'!$B$4,1,IF('Análisis de Riesgos'!E853='Tablas AR'!$B$5,2,IF('Análisis de Riesgos'!E853='Tablas AR'!$B$6,3,"")))</f>
        <v/>
      </c>
      <c r="G853" s="25"/>
      <c r="H853" s="26" t="str">
        <f>IF(G853='Tablas AR'!$B$10,1,IF('Análisis de Riesgos'!G853='Tablas AR'!$B$11,2,IF('Análisis de Riesgos'!G853='Tablas AR'!$B$12,3,"")))</f>
        <v/>
      </c>
      <c r="I853" s="26" t="str">
        <f t="shared" si="13"/>
        <v/>
      </c>
    </row>
    <row r="854" spans="2:9" x14ac:dyDescent="0.3">
      <c r="B854" s="27" t="str">
        <f>IFERROR(INDEX(Activos!$B$3:$C$16, MATCH(C854,Activos!$B$3:$B$16),2),"")</f>
        <v/>
      </c>
      <c r="C854" s="27"/>
      <c r="D854" s="27"/>
      <c r="E854" s="25"/>
      <c r="F854" s="26" t="str">
        <f>IF(E854='Tablas AR'!$B$4,1,IF('Análisis de Riesgos'!E854='Tablas AR'!$B$5,2,IF('Análisis de Riesgos'!E854='Tablas AR'!$B$6,3,"")))</f>
        <v/>
      </c>
      <c r="G854" s="25"/>
      <c r="H854" s="26" t="str">
        <f>IF(G854='Tablas AR'!$B$10,1,IF('Análisis de Riesgos'!G854='Tablas AR'!$B$11,2,IF('Análisis de Riesgos'!G854='Tablas AR'!$B$12,3,"")))</f>
        <v/>
      </c>
      <c r="I854" s="26" t="str">
        <f t="shared" si="13"/>
        <v/>
      </c>
    </row>
    <row r="855" spans="2:9" x14ac:dyDescent="0.3">
      <c r="B855" s="27" t="str">
        <f>IFERROR(INDEX(Activos!$B$3:$C$16, MATCH(C855,Activos!$B$3:$B$16),2),"")</f>
        <v/>
      </c>
      <c r="C855" s="27"/>
      <c r="D855" s="27"/>
      <c r="E855" s="25"/>
      <c r="F855" s="26" t="str">
        <f>IF(E855='Tablas AR'!$B$4,1,IF('Análisis de Riesgos'!E855='Tablas AR'!$B$5,2,IF('Análisis de Riesgos'!E855='Tablas AR'!$B$6,3,"")))</f>
        <v/>
      </c>
      <c r="G855" s="25"/>
      <c r="H855" s="26" t="str">
        <f>IF(G855='Tablas AR'!$B$10,1,IF('Análisis de Riesgos'!G855='Tablas AR'!$B$11,2,IF('Análisis de Riesgos'!G855='Tablas AR'!$B$12,3,"")))</f>
        <v/>
      </c>
      <c r="I855" s="26" t="str">
        <f t="shared" si="13"/>
        <v/>
      </c>
    </row>
    <row r="856" spans="2:9" x14ac:dyDescent="0.3">
      <c r="B856" s="27" t="str">
        <f>IFERROR(INDEX(Activos!$B$3:$C$16, MATCH(C856,Activos!$B$3:$B$16),2),"")</f>
        <v/>
      </c>
      <c r="C856" s="27"/>
      <c r="D856" s="27"/>
      <c r="E856" s="25"/>
      <c r="F856" s="26" t="str">
        <f>IF(E856='Tablas AR'!$B$4,1,IF('Análisis de Riesgos'!E856='Tablas AR'!$B$5,2,IF('Análisis de Riesgos'!E856='Tablas AR'!$B$6,3,"")))</f>
        <v/>
      </c>
      <c r="G856" s="25"/>
      <c r="H856" s="26" t="str">
        <f>IF(G856='Tablas AR'!$B$10,1,IF('Análisis de Riesgos'!G856='Tablas AR'!$B$11,2,IF('Análisis de Riesgos'!G856='Tablas AR'!$B$12,3,"")))</f>
        <v/>
      </c>
      <c r="I856" s="26" t="str">
        <f t="shared" si="13"/>
        <v/>
      </c>
    </row>
    <row r="857" spans="2:9" x14ac:dyDescent="0.3">
      <c r="B857" s="27" t="str">
        <f>IFERROR(INDEX(Activos!$B$3:$C$16, MATCH(C857,Activos!$B$3:$B$16),2),"")</f>
        <v/>
      </c>
      <c r="C857" s="27"/>
      <c r="D857" s="27"/>
      <c r="E857" s="25"/>
      <c r="F857" s="26" t="str">
        <f>IF(E857='Tablas AR'!$B$4,1,IF('Análisis de Riesgos'!E857='Tablas AR'!$B$5,2,IF('Análisis de Riesgos'!E857='Tablas AR'!$B$6,3,"")))</f>
        <v/>
      </c>
      <c r="G857" s="25"/>
      <c r="H857" s="26" t="str">
        <f>IF(G857='Tablas AR'!$B$10,1,IF('Análisis de Riesgos'!G857='Tablas AR'!$B$11,2,IF('Análisis de Riesgos'!G857='Tablas AR'!$B$12,3,"")))</f>
        <v/>
      </c>
      <c r="I857" s="26" t="str">
        <f t="shared" si="13"/>
        <v/>
      </c>
    </row>
    <row r="858" spans="2:9" x14ac:dyDescent="0.3">
      <c r="B858" s="27" t="str">
        <f>IFERROR(INDEX(Activos!$B$3:$C$16, MATCH(C858,Activos!$B$3:$B$16),2),"")</f>
        <v/>
      </c>
      <c r="C858" s="27"/>
      <c r="D858" s="27"/>
      <c r="E858" s="25"/>
      <c r="F858" s="26" t="str">
        <f>IF(E858='Tablas AR'!$B$4,1,IF('Análisis de Riesgos'!E858='Tablas AR'!$B$5,2,IF('Análisis de Riesgos'!E858='Tablas AR'!$B$6,3,"")))</f>
        <v/>
      </c>
      <c r="G858" s="25"/>
      <c r="H858" s="26" t="str">
        <f>IF(G858='Tablas AR'!$B$10,1,IF('Análisis de Riesgos'!G858='Tablas AR'!$B$11,2,IF('Análisis de Riesgos'!G858='Tablas AR'!$B$12,3,"")))</f>
        <v/>
      </c>
      <c r="I858" s="26" t="str">
        <f t="shared" si="13"/>
        <v/>
      </c>
    </row>
    <row r="859" spans="2:9" x14ac:dyDescent="0.3">
      <c r="B859" s="27" t="str">
        <f>IFERROR(INDEX(Activos!$B$3:$C$16, MATCH(C859,Activos!$B$3:$B$16),2),"")</f>
        <v/>
      </c>
      <c r="C859" s="27"/>
      <c r="D859" s="27"/>
      <c r="E859" s="25"/>
      <c r="F859" s="26" t="str">
        <f>IF(E859='Tablas AR'!$B$4,1,IF('Análisis de Riesgos'!E859='Tablas AR'!$B$5,2,IF('Análisis de Riesgos'!E859='Tablas AR'!$B$6,3,"")))</f>
        <v/>
      </c>
      <c r="G859" s="25"/>
      <c r="H859" s="26" t="str">
        <f>IF(G859='Tablas AR'!$B$10,1,IF('Análisis de Riesgos'!G859='Tablas AR'!$B$11,2,IF('Análisis de Riesgos'!G859='Tablas AR'!$B$12,3,"")))</f>
        <v/>
      </c>
      <c r="I859" s="26" t="str">
        <f t="shared" si="13"/>
        <v/>
      </c>
    </row>
    <row r="860" spans="2:9" x14ac:dyDescent="0.3">
      <c r="B860" s="27" t="str">
        <f>IFERROR(INDEX(Activos!$B$3:$C$16, MATCH(C860,Activos!$B$3:$B$16),2),"")</f>
        <v/>
      </c>
      <c r="C860" s="27"/>
      <c r="D860" s="27"/>
      <c r="E860" s="25"/>
      <c r="F860" s="26" t="str">
        <f>IF(E860='Tablas AR'!$B$4,1,IF('Análisis de Riesgos'!E860='Tablas AR'!$B$5,2,IF('Análisis de Riesgos'!E860='Tablas AR'!$B$6,3,"")))</f>
        <v/>
      </c>
      <c r="G860" s="25"/>
      <c r="H860" s="26" t="str">
        <f>IF(G860='Tablas AR'!$B$10,1,IF('Análisis de Riesgos'!G860='Tablas AR'!$B$11,2,IF('Análisis de Riesgos'!G860='Tablas AR'!$B$12,3,"")))</f>
        <v/>
      </c>
      <c r="I860" s="26" t="str">
        <f t="shared" si="13"/>
        <v/>
      </c>
    </row>
    <row r="861" spans="2:9" x14ac:dyDescent="0.3">
      <c r="B861" s="27" t="str">
        <f>IFERROR(INDEX(Activos!$B$3:$C$16, MATCH(C861,Activos!$B$3:$B$16),2),"")</f>
        <v/>
      </c>
      <c r="C861" s="27"/>
      <c r="D861" s="27"/>
      <c r="E861" s="25"/>
      <c r="F861" s="26" t="str">
        <f>IF(E861='Tablas AR'!$B$4,1,IF('Análisis de Riesgos'!E861='Tablas AR'!$B$5,2,IF('Análisis de Riesgos'!E861='Tablas AR'!$B$6,3,"")))</f>
        <v/>
      </c>
      <c r="G861" s="25"/>
      <c r="H861" s="26" t="str">
        <f>IF(G861='Tablas AR'!$B$10,1,IF('Análisis de Riesgos'!G861='Tablas AR'!$B$11,2,IF('Análisis de Riesgos'!G861='Tablas AR'!$B$12,3,"")))</f>
        <v/>
      </c>
      <c r="I861" s="26" t="str">
        <f t="shared" si="13"/>
        <v/>
      </c>
    </row>
    <row r="862" spans="2:9" x14ac:dyDescent="0.3">
      <c r="B862" s="27" t="str">
        <f>IFERROR(INDEX(Activos!$B$3:$C$16, MATCH(C862,Activos!$B$3:$B$16),2),"")</f>
        <v/>
      </c>
      <c r="C862" s="27"/>
      <c r="D862" s="27"/>
      <c r="E862" s="25"/>
      <c r="F862" s="26" t="str">
        <f>IF(E862='Tablas AR'!$B$4,1,IF('Análisis de Riesgos'!E862='Tablas AR'!$B$5,2,IF('Análisis de Riesgos'!E862='Tablas AR'!$B$6,3,"")))</f>
        <v/>
      </c>
      <c r="G862" s="25"/>
      <c r="H862" s="26" t="str">
        <f>IF(G862='Tablas AR'!$B$10,1,IF('Análisis de Riesgos'!G862='Tablas AR'!$B$11,2,IF('Análisis de Riesgos'!G862='Tablas AR'!$B$12,3,"")))</f>
        <v/>
      </c>
      <c r="I862" s="26" t="str">
        <f t="shared" si="13"/>
        <v/>
      </c>
    </row>
    <row r="863" spans="2:9" x14ac:dyDescent="0.3">
      <c r="B863" s="27" t="str">
        <f>IFERROR(INDEX(Activos!$B$3:$C$16, MATCH(C863,Activos!$B$3:$B$16),2),"")</f>
        <v/>
      </c>
      <c r="C863" s="27"/>
      <c r="D863" s="27"/>
      <c r="E863" s="25"/>
      <c r="F863" s="26" t="str">
        <f>IF(E863='Tablas AR'!$B$4,1,IF('Análisis de Riesgos'!E863='Tablas AR'!$B$5,2,IF('Análisis de Riesgos'!E863='Tablas AR'!$B$6,3,"")))</f>
        <v/>
      </c>
      <c r="G863" s="25"/>
      <c r="H863" s="26" t="str">
        <f>IF(G863='Tablas AR'!$B$10,1,IF('Análisis de Riesgos'!G863='Tablas AR'!$B$11,2,IF('Análisis de Riesgos'!G863='Tablas AR'!$B$12,3,"")))</f>
        <v/>
      </c>
      <c r="I863" s="26" t="str">
        <f t="shared" si="13"/>
        <v/>
      </c>
    </row>
    <row r="864" spans="2:9" x14ac:dyDescent="0.3">
      <c r="B864" s="27" t="str">
        <f>IFERROR(INDEX(Activos!$B$3:$C$16, MATCH(C864,Activos!$B$3:$B$16),2),"")</f>
        <v/>
      </c>
      <c r="C864" s="27"/>
      <c r="D864" s="27"/>
      <c r="E864" s="25"/>
      <c r="F864" s="26" t="str">
        <f>IF(E864='Tablas AR'!$B$4,1,IF('Análisis de Riesgos'!E864='Tablas AR'!$B$5,2,IF('Análisis de Riesgos'!E864='Tablas AR'!$B$6,3,"")))</f>
        <v/>
      </c>
      <c r="G864" s="25"/>
      <c r="H864" s="26" t="str">
        <f>IF(G864='Tablas AR'!$B$10,1,IF('Análisis de Riesgos'!G864='Tablas AR'!$B$11,2,IF('Análisis de Riesgos'!G864='Tablas AR'!$B$12,3,"")))</f>
        <v/>
      </c>
      <c r="I864" s="26" t="str">
        <f t="shared" si="13"/>
        <v/>
      </c>
    </row>
    <row r="865" spans="2:9" x14ac:dyDescent="0.3">
      <c r="B865" s="27" t="str">
        <f>IFERROR(INDEX(Activos!$B$3:$C$16, MATCH(C865,Activos!$B$3:$B$16),2),"")</f>
        <v/>
      </c>
      <c r="C865" s="27"/>
      <c r="D865" s="27"/>
      <c r="E865" s="25"/>
      <c r="F865" s="26" t="str">
        <f>IF(E865='Tablas AR'!$B$4,1,IF('Análisis de Riesgos'!E865='Tablas AR'!$B$5,2,IF('Análisis de Riesgos'!E865='Tablas AR'!$B$6,3,"")))</f>
        <v/>
      </c>
      <c r="G865" s="25"/>
      <c r="H865" s="26" t="str">
        <f>IF(G865='Tablas AR'!$B$10,1,IF('Análisis de Riesgos'!G865='Tablas AR'!$B$11,2,IF('Análisis de Riesgos'!G865='Tablas AR'!$B$12,3,"")))</f>
        <v/>
      </c>
      <c r="I865" s="26" t="str">
        <f t="shared" si="13"/>
        <v/>
      </c>
    </row>
    <row r="866" spans="2:9" x14ac:dyDescent="0.3">
      <c r="B866" s="27" t="str">
        <f>IFERROR(INDEX(Activos!$B$3:$C$16, MATCH(C866,Activos!$B$3:$B$16),2),"")</f>
        <v/>
      </c>
      <c r="C866" s="27"/>
      <c r="D866" s="27"/>
      <c r="E866" s="25"/>
      <c r="F866" s="26" t="str">
        <f>IF(E866='Tablas AR'!$B$4,1,IF('Análisis de Riesgos'!E866='Tablas AR'!$B$5,2,IF('Análisis de Riesgos'!E866='Tablas AR'!$B$6,3,"")))</f>
        <v/>
      </c>
      <c r="G866" s="25"/>
      <c r="H866" s="26" t="str">
        <f>IF(G866='Tablas AR'!$B$10,1,IF('Análisis de Riesgos'!G866='Tablas AR'!$B$11,2,IF('Análisis de Riesgos'!G866='Tablas AR'!$B$12,3,"")))</f>
        <v/>
      </c>
      <c r="I866" s="26" t="str">
        <f t="shared" si="13"/>
        <v/>
      </c>
    </row>
    <row r="867" spans="2:9" x14ac:dyDescent="0.3">
      <c r="B867" s="27" t="str">
        <f>IFERROR(INDEX(Activos!$B$3:$C$16, MATCH(C867,Activos!$B$3:$B$16),2),"")</f>
        <v/>
      </c>
      <c r="C867" s="27"/>
      <c r="D867" s="27"/>
      <c r="E867" s="25"/>
      <c r="F867" s="26" t="str">
        <f>IF(E867='Tablas AR'!$B$4,1,IF('Análisis de Riesgos'!E867='Tablas AR'!$B$5,2,IF('Análisis de Riesgos'!E867='Tablas AR'!$B$6,3,"")))</f>
        <v/>
      </c>
      <c r="G867" s="25"/>
      <c r="H867" s="26" t="str">
        <f>IF(G867='Tablas AR'!$B$10,1,IF('Análisis de Riesgos'!G867='Tablas AR'!$B$11,2,IF('Análisis de Riesgos'!G867='Tablas AR'!$B$12,3,"")))</f>
        <v/>
      </c>
      <c r="I867" s="26" t="str">
        <f t="shared" si="13"/>
        <v/>
      </c>
    </row>
    <row r="868" spans="2:9" x14ac:dyDescent="0.3">
      <c r="B868" s="27" t="str">
        <f>IFERROR(INDEX(Activos!$B$3:$C$16, MATCH(C868,Activos!$B$3:$B$16),2),"")</f>
        <v/>
      </c>
      <c r="C868" s="27"/>
      <c r="D868" s="27"/>
      <c r="E868" s="25"/>
      <c r="F868" s="26" t="str">
        <f>IF(E868='Tablas AR'!$B$4,1,IF('Análisis de Riesgos'!E868='Tablas AR'!$B$5,2,IF('Análisis de Riesgos'!E868='Tablas AR'!$B$6,3,"")))</f>
        <v/>
      </c>
      <c r="G868" s="25"/>
      <c r="H868" s="26" t="str">
        <f>IF(G868='Tablas AR'!$B$10,1,IF('Análisis de Riesgos'!G868='Tablas AR'!$B$11,2,IF('Análisis de Riesgos'!G868='Tablas AR'!$B$12,3,"")))</f>
        <v/>
      </c>
      <c r="I868" s="26" t="str">
        <f t="shared" si="13"/>
        <v/>
      </c>
    </row>
    <row r="869" spans="2:9" x14ac:dyDescent="0.3">
      <c r="B869" s="27" t="str">
        <f>IFERROR(INDEX(Activos!$B$3:$C$16, MATCH(C869,Activos!$B$3:$B$16),2),"")</f>
        <v/>
      </c>
      <c r="C869" s="27"/>
      <c r="D869" s="27"/>
      <c r="E869" s="25"/>
      <c r="F869" s="26" t="str">
        <f>IF(E869='Tablas AR'!$B$4,1,IF('Análisis de Riesgos'!E869='Tablas AR'!$B$5,2,IF('Análisis de Riesgos'!E869='Tablas AR'!$B$6,3,"")))</f>
        <v/>
      </c>
      <c r="G869" s="25"/>
      <c r="H869" s="26" t="str">
        <f>IF(G869='Tablas AR'!$B$10,1,IF('Análisis de Riesgos'!G869='Tablas AR'!$B$11,2,IF('Análisis de Riesgos'!G869='Tablas AR'!$B$12,3,"")))</f>
        <v/>
      </c>
      <c r="I869" s="26" t="str">
        <f t="shared" si="13"/>
        <v/>
      </c>
    </row>
    <row r="870" spans="2:9" x14ac:dyDescent="0.3">
      <c r="B870" s="27" t="str">
        <f>IFERROR(INDEX(Activos!$B$3:$C$16, MATCH(C870,Activos!$B$3:$B$16),2),"")</f>
        <v/>
      </c>
      <c r="C870" s="27"/>
      <c r="D870" s="27"/>
      <c r="E870" s="25"/>
      <c r="F870" s="26" t="str">
        <f>IF(E870='Tablas AR'!$B$4,1,IF('Análisis de Riesgos'!E870='Tablas AR'!$B$5,2,IF('Análisis de Riesgos'!E870='Tablas AR'!$B$6,3,"")))</f>
        <v/>
      </c>
      <c r="G870" s="25"/>
      <c r="H870" s="26" t="str">
        <f>IF(G870='Tablas AR'!$B$10,1,IF('Análisis de Riesgos'!G870='Tablas AR'!$B$11,2,IF('Análisis de Riesgos'!G870='Tablas AR'!$B$12,3,"")))</f>
        <v/>
      </c>
      <c r="I870" s="26" t="str">
        <f t="shared" si="13"/>
        <v/>
      </c>
    </row>
    <row r="871" spans="2:9" x14ac:dyDescent="0.3">
      <c r="B871" s="27" t="str">
        <f>IFERROR(INDEX(Activos!$B$3:$C$16, MATCH(C871,Activos!$B$3:$B$16),2),"")</f>
        <v/>
      </c>
      <c r="C871" s="27"/>
      <c r="D871" s="27"/>
      <c r="E871" s="25"/>
      <c r="F871" s="26" t="str">
        <f>IF(E871='Tablas AR'!$B$4,1,IF('Análisis de Riesgos'!E871='Tablas AR'!$B$5,2,IF('Análisis de Riesgos'!E871='Tablas AR'!$B$6,3,"")))</f>
        <v/>
      </c>
      <c r="G871" s="25"/>
      <c r="H871" s="26" t="str">
        <f>IF(G871='Tablas AR'!$B$10,1,IF('Análisis de Riesgos'!G871='Tablas AR'!$B$11,2,IF('Análisis de Riesgos'!G871='Tablas AR'!$B$12,3,"")))</f>
        <v/>
      </c>
      <c r="I871" s="26" t="str">
        <f t="shared" si="13"/>
        <v/>
      </c>
    </row>
    <row r="872" spans="2:9" x14ac:dyDescent="0.3">
      <c r="B872" s="27" t="str">
        <f>IFERROR(INDEX(Activos!$B$3:$C$16, MATCH(C872,Activos!$B$3:$B$16),2),"")</f>
        <v/>
      </c>
      <c r="C872" s="27"/>
      <c r="D872" s="27"/>
      <c r="E872" s="25"/>
      <c r="F872" s="26" t="str">
        <f>IF(E872='Tablas AR'!$B$4,1,IF('Análisis de Riesgos'!E872='Tablas AR'!$B$5,2,IF('Análisis de Riesgos'!E872='Tablas AR'!$B$6,3,"")))</f>
        <v/>
      </c>
      <c r="G872" s="25"/>
      <c r="H872" s="26" t="str">
        <f>IF(G872='Tablas AR'!$B$10,1,IF('Análisis de Riesgos'!G872='Tablas AR'!$B$11,2,IF('Análisis de Riesgos'!G872='Tablas AR'!$B$12,3,"")))</f>
        <v/>
      </c>
      <c r="I872" s="26" t="str">
        <f t="shared" si="13"/>
        <v/>
      </c>
    </row>
    <row r="873" spans="2:9" x14ac:dyDescent="0.3">
      <c r="B873" s="27" t="str">
        <f>IFERROR(INDEX(Activos!$B$3:$C$16, MATCH(C873,Activos!$B$3:$B$16),2),"")</f>
        <v/>
      </c>
      <c r="C873" s="27"/>
      <c r="D873" s="27"/>
      <c r="E873" s="25"/>
      <c r="F873" s="26" t="str">
        <f>IF(E873='Tablas AR'!$B$4,1,IF('Análisis de Riesgos'!E873='Tablas AR'!$B$5,2,IF('Análisis de Riesgos'!E873='Tablas AR'!$B$6,3,"")))</f>
        <v/>
      </c>
      <c r="G873" s="25"/>
      <c r="H873" s="26" t="str">
        <f>IF(G873='Tablas AR'!$B$10,1,IF('Análisis de Riesgos'!G873='Tablas AR'!$B$11,2,IF('Análisis de Riesgos'!G873='Tablas AR'!$B$12,3,"")))</f>
        <v/>
      </c>
      <c r="I873" s="26" t="str">
        <f t="shared" si="13"/>
        <v/>
      </c>
    </row>
    <row r="874" spans="2:9" x14ac:dyDescent="0.3">
      <c r="B874" s="27" t="str">
        <f>IFERROR(INDEX(Activos!$B$3:$C$16, MATCH(C874,Activos!$B$3:$B$16),2),"")</f>
        <v/>
      </c>
      <c r="C874" s="27"/>
      <c r="D874" s="27"/>
      <c r="E874" s="25"/>
      <c r="F874" s="26" t="str">
        <f>IF(E874='Tablas AR'!$B$4,1,IF('Análisis de Riesgos'!E874='Tablas AR'!$B$5,2,IF('Análisis de Riesgos'!E874='Tablas AR'!$B$6,3,"")))</f>
        <v/>
      </c>
      <c r="G874" s="25"/>
      <c r="H874" s="26" t="str">
        <f>IF(G874='Tablas AR'!$B$10,1,IF('Análisis de Riesgos'!G874='Tablas AR'!$B$11,2,IF('Análisis de Riesgos'!G874='Tablas AR'!$B$12,3,"")))</f>
        <v/>
      </c>
      <c r="I874" s="26" t="str">
        <f t="shared" si="13"/>
        <v/>
      </c>
    </row>
    <row r="875" spans="2:9" x14ac:dyDescent="0.3">
      <c r="B875" s="27" t="str">
        <f>IFERROR(INDEX(Activos!$B$3:$C$16, MATCH(C875,Activos!$B$3:$B$16),2),"")</f>
        <v/>
      </c>
      <c r="C875" s="27"/>
      <c r="D875" s="27"/>
      <c r="E875" s="25"/>
      <c r="F875" s="26" t="str">
        <f>IF(E875='Tablas AR'!$B$4,1,IF('Análisis de Riesgos'!E875='Tablas AR'!$B$5,2,IF('Análisis de Riesgos'!E875='Tablas AR'!$B$6,3,"")))</f>
        <v/>
      </c>
      <c r="G875" s="25"/>
      <c r="H875" s="26" t="str">
        <f>IF(G875='Tablas AR'!$B$10,1,IF('Análisis de Riesgos'!G875='Tablas AR'!$B$11,2,IF('Análisis de Riesgos'!G875='Tablas AR'!$B$12,3,"")))</f>
        <v/>
      </c>
      <c r="I875" s="26" t="str">
        <f t="shared" si="13"/>
        <v/>
      </c>
    </row>
    <row r="876" spans="2:9" x14ac:dyDescent="0.3">
      <c r="B876" s="27" t="str">
        <f>IFERROR(INDEX(Activos!$B$3:$C$16, MATCH(C876,Activos!$B$3:$B$16),2),"")</f>
        <v/>
      </c>
      <c r="C876" s="27"/>
      <c r="D876" s="27"/>
      <c r="E876" s="25"/>
      <c r="F876" s="26" t="str">
        <f>IF(E876='Tablas AR'!$B$4,1,IF('Análisis de Riesgos'!E876='Tablas AR'!$B$5,2,IF('Análisis de Riesgos'!E876='Tablas AR'!$B$6,3,"")))</f>
        <v/>
      </c>
      <c r="G876" s="25"/>
      <c r="H876" s="26" t="str">
        <f>IF(G876='Tablas AR'!$B$10,1,IF('Análisis de Riesgos'!G876='Tablas AR'!$B$11,2,IF('Análisis de Riesgos'!G876='Tablas AR'!$B$12,3,"")))</f>
        <v/>
      </c>
      <c r="I876" s="26" t="str">
        <f t="shared" si="13"/>
        <v/>
      </c>
    </row>
    <row r="877" spans="2:9" x14ac:dyDescent="0.3">
      <c r="B877" s="27" t="str">
        <f>IFERROR(INDEX(Activos!$B$3:$C$16, MATCH(C877,Activos!$B$3:$B$16),2),"")</f>
        <v/>
      </c>
      <c r="C877" s="27"/>
      <c r="D877" s="27"/>
      <c r="E877" s="25"/>
      <c r="F877" s="26" t="str">
        <f>IF(E877='Tablas AR'!$B$4,1,IF('Análisis de Riesgos'!E877='Tablas AR'!$B$5,2,IF('Análisis de Riesgos'!E877='Tablas AR'!$B$6,3,"")))</f>
        <v/>
      </c>
      <c r="G877" s="25"/>
      <c r="H877" s="26" t="str">
        <f>IF(G877='Tablas AR'!$B$10,1,IF('Análisis de Riesgos'!G877='Tablas AR'!$B$11,2,IF('Análisis de Riesgos'!G877='Tablas AR'!$B$12,3,"")))</f>
        <v/>
      </c>
      <c r="I877" s="26" t="str">
        <f t="shared" si="13"/>
        <v/>
      </c>
    </row>
    <row r="878" spans="2:9" x14ac:dyDescent="0.3">
      <c r="B878" s="27" t="str">
        <f>IFERROR(INDEX(Activos!$B$3:$C$16, MATCH(C878,Activos!$B$3:$B$16),2),"")</f>
        <v/>
      </c>
      <c r="C878" s="27"/>
      <c r="D878" s="27"/>
      <c r="E878" s="25"/>
      <c r="F878" s="26" t="str">
        <f>IF(E878='Tablas AR'!$B$4,1,IF('Análisis de Riesgos'!E878='Tablas AR'!$B$5,2,IF('Análisis de Riesgos'!E878='Tablas AR'!$B$6,3,"")))</f>
        <v/>
      </c>
      <c r="G878" s="25"/>
      <c r="H878" s="26" t="str">
        <f>IF(G878='Tablas AR'!$B$10,1,IF('Análisis de Riesgos'!G878='Tablas AR'!$B$11,2,IF('Análisis de Riesgos'!G878='Tablas AR'!$B$12,3,"")))</f>
        <v/>
      </c>
      <c r="I878" s="26" t="str">
        <f t="shared" si="13"/>
        <v/>
      </c>
    </row>
    <row r="879" spans="2:9" x14ac:dyDescent="0.3">
      <c r="B879" s="27" t="str">
        <f>IFERROR(INDEX(Activos!$B$3:$C$16, MATCH(C879,Activos!$B$3:$B$16),2),"")</f>
        <v/>
      </c>
      <c r="C879" s="27"/>
      <c r="D879" s="27"/>
      <c r="E879" s="25"/>
      <c r="F879" s="26" t="str">
        <f>IF(E879='Tablas AR'!$B$4,1,IF('Análisis de Riesgos'!E879='Tablas AR'!$B$5,2,IF('Análisis de Riesgos'!E879='Tablas AR'!$B$6,3,"")))</f>
        <v/>
      </c>
      <c r="G879" s="25"/>
      <c r="H879" s="26" t="str">
        <f>IF(G879='Tablas AR'!$B$10,1,IF('Análisis de Riesgos'!G879='Tablas AR'!$B$11,2,IF('Análisis de Riesgos'!G879='Tablas AR'!$B$12,3,"")))</f>
        <v/>
      </c>
      <c r="I879" s="26" t="str">
        <f t="shared" si="13"/>
        <v/>
      </c>
    </row>
    <row r="880" spans="2:9" x14ac:dyDescent="0.3">
      <c r="B880" s="27" t="str">
        <f>IFERROR(INDEX(Activos!$B$3:$C$16, MATCH(C880,Activos!$B$3:$B$16),2),"")</f>
        <v/>
      </c>
      <c r="C880" s="27"/>
      <c r="D880" s="27"/>
      <c r="E880" s="25"/>
      <c r="F880" s="26" t="str">
        <f>IF(E880='Tablas AR'!$B$4,1,IF('Análisis de Riesgos'!E880='Tablas AR'!$B$5,2,IF('Análisis de Riesgos'!E880='Tablas AR'!$B$6,3,"")))</f>
        <v/>
      </c>
      <c r="G880" s="25"/>
      <c r="H880" s="26" t="str">
        <f>IF(G880='Tablas AR'!$B$10,1,IF('Análisis de Riesgos'!G880='Tablas AR'!$B$11,2,IF('Análisis de Riesgos'!G880='Tablas AR'!$B$12,3,"")))</f>
        <v/>
      </c>
      <c r="I880" s="26" t="str">
        <f t="shared" si="13"/>
        <v/>
      </c>
    </row>
    <row r="881" spans="2:9" x14ac:dyDescent="0.3">
      <c r="B881" s="27" t="str">
        <f>IFERROR(INDEX(Activos!$B$3:$C$16, MATCH(C881,Activos!$B$3:$B$16),2),"")</f>
        <v/>
      </c>
      <c r="C881" s="27"/>
      <c r="D881" s="27"/>
      <c r="E881" s="25"/>
      <c r="F881" s="26" t="str">
        <f>IF(E881='Tablas AR'!$B$4,1,IF('Análisis de Riesgos'!E881='Tablas AR'!$B$5,2,IF('Análisis de Riesgos'!E881='Tablas AR'!$B$6,3,"")))</f>
        <v/>
      </c>
      <c r="G881" s="25"/>
      <c r="H881" s="26" t="str">
        <f>IF(G881='Tablas AR'!$B$10,1,IF('Análisis de Riesgos'!G881='Tablas AR'!$B$11,2,IF('Análisis de Riesgos'!G881='Tablas AR'!$B$12,3,"")))</f>
        <v/>
      </c>
      <c r="I881" s="26" t="str">
        <f t="shared" si="13"/>
        <v/>
      </c>
    </row>
    <row r="882" spans="2:9" x14ac:dyDescent="0.3">
      <c r="B882" s="27" t="str">
        <f>IFERROR(INDEX(Activos!$B$3:$C$16, MATCH(C882,Activos!$B$3:$B$16),2),"")</f>
        <v/>
      </c>
      <c r="C882" s="27"/>
      <c r="D882" s="27"/>
      <c r="E882" s="25"/>
      <c r="F882" s="26" t="str">
        <f>IF(E882='Tablas AR'!$B$4,1,IF('Análisis de Riesgos'!E882='Tablas AR'!$B$5,2,IF('Análisis de Riesgos'!E882='Tablas AR'!$B$6,3,"")))</f>
        <v/>
      </c>
      <c r="G882" s="25"/>
      <c r="H882" s="26" t="str">
        <f>IF(G882='Tablas AR'!$B$10,1,IF('Análisis de Riesgos'!G882='Tablas AR'!$B$11,2,IF('Análisis de Riesgos'!G882='Tablas AR'!$B$12,3,"")))</f>
        <v/>
      </c>
      <c r="I882" s="26" t="str">
        <f t="shared" si="13"/>
        <v/>
      </c>
    </row>
    <row r="883" spans="2:9" x14ac:dyDescent="0.3">
      <c r="B883" s="27" t="str">
        <f>IFERROR(INDEX(Activos!$B$3:$C$16, MATCH(C883,Activos!$B$3:$B$16),2),"")</f>
        <v/>
      </c>
      <c r="C883" s="27"/>
      <c r="D883" s="27"/>
      <c r="E883" s="25"/>
      <c r="F883" s="26" t="str">
        <f>IF(E883='Tablas AR'!$B$4,1,IF('Análisis de Riesgos'!E883='Tablas AR'!$B$5,2,IF('Análisis de Riesgos'!E883='Tablas AR'!$B$6,3,"")))</f>
        <v/>
      </c>
      <c r="G883" s="25"/>
      <c r="H883" s="26" t="str">
        <f>IF(G883='Tablas AR'!$B$10,1,IF('Análisis de Riesgos'!G883='Tablas AR'!$B$11,2,IF('Análisis de Riesgos'!G883='Tablas AR'!$B$12,3,"")))</f>
        <v/>
      </c>
      <c r="I883" s="26" t="str">
        <f t="shared" si="13"/>
        <v/>
      </c>
    </row>
    <row r="884" spans="2:9" x14ac:dyDescent="0.3">
      <c r="B884" s="27" t="str">
        <f>IFERROR(INDEX(Activos!$B$3:$C$16, MATCH(C884,Activos!$B$3:$B$16),2),"")</f>
        <v/>
      </c>
      <c r="C884" s="27"/>
      <c r="D884" s="27"/>
      <c r="E884" s="25"/>
      <c r="F884" s="26" t="str">
        <f>IF(E884='Tablas AR'!$B$4,1,IF('Análisis de Riesgos'!E884='Tablas AR'!$B$5,2,IF('Análisis de Riesgos'!E884='Tablas AR'!$B$6,3,"")))</f>
        <v/>
      </c>
      <c r="G884" s="25"/>
      <c r="H884" s="26" t="str">
        <f>IF(G884='Tablas AR'!$B$10,1,IF('Análisis de Riesgos'!G884='Tablas AR'!$B$11,2,IF('Análisis de Riesgos'!G884='Tablas AR'!$B$12,3,"")))</f>
        <v/>
      </c>
      <c r="I884" s="26" t="str">
        <f t="shared" si="13"/>
        <v/>
      </c>
    </row>
    <row r="885" spans="2:9" x14ac:dyDescent="0.3">
      <c r="B885" s="27" t="str">
        <f>IFERROR(INDEX(Activos!$B$3:$C$16, MATCH(C885,Activos!$B$3:$B$16),2),"")</f>
        <v/>
      </c>
      <c r="C885" s="27"/>
      <c r="D885" s="27"/>
      <c r="E885" s="25"/>
      <c r="F885" s="26" t="str">
        <f>IF(E885='Tablas AR'!$B$4,1,IF('Análisis de Riesgos'!E885='Tablas AR'!$B$5,2,IF('Análisis de Riesgos'!E885='Tablas AR'!$B$6,3,"")))</f>
        <v/>
      </c>
      <c r="G885" s="25"/>
      <c r="H885" s="26" t="str">
        <f>IF(G885='Tablas AR'!$B$10,1,IF('Análisis de Riesgos'!G885='Tablas AR'!$B$11,2,IF('Análisis de Riesgos'!G885='Tablas AR'!$B$12,3,"")))</f>
        <v/>
      </c>
      <c r="I885" s="26" t="str">
        <f t="shared" si="13"/>
        <v/>
      </c>
    </row>
    <row r="886" spans="2:9" x14ac:dyDescent="0.3">
      <c r="B886" s="27" t="str">
        <f>IFERROR(INDEX(Activos!$B$3:$C$16, MATCH(C886,Activos!$B$3:$B$16),2),"")</f>
        <v/>
      </c>
      <c r="C886" s="27"/>
      <c r="D886" s="27"/>
      <c r="E886" s="25"/>
      <c r="F886" s="26" t="str">
        <f>IF(E886='Tablas AR'!$B$4,1,IF('Análisis de Riesgos'!E886='Tablas AR'!$B$5,2,IF('Análisis de Riesgos'!E886='Tablas AR'!$B$6,3,"")))</f>
        <v/>
      </c>
      <c r="G886" s="25"/>
      <c r="H886" s="26" t="str">
        <f>IF(G886='Tablas AR'!$B$10,1,IF('Análisis de Riesgos'!G886='Tablas AR'!$B$11,2,IF('Análisis de Riesgos'!G886='Tablas AR'!$B$12,3,"")))</f>
        <v/>
      </c>
      <c r="I886" s="26" t="str">
        <f t="shared" si="13"/>
        <v/>
      </c>
    </row>
    <row r="887" spans="2:9" x14ac:dyDescent="0.3">
      <c r="B887" s="27" t="str">
        <f>IFERROR(INDEX(Activos!$B$3:$C$16, MATCH(C887,Activos!$B$3:$B$16),2),"")</f>
        <v/>
      </c>
      <c r="C887" s="27"/>
      <c r="D887" s="27"/>
      <c r="E887" s="25"/>
      <c r="F887" s="26" t="str">
        <f>IF(E887='Tablas AR'!$B$4,1,IF('Análisis de Riesgos'!E887='Tablas AR'!$B$5,2,IF('Análisis de Riesgos'!E887='Tablas AR'!$B$6,3,"")))</f>
        <v/>
      </c>
      <c r="G887" s="25"/>
      <c r="H887" s="26" t="str">
        <f>IF(G887='Tablas AR'!$B$10,1,IF('Análisis de Riesgos'!G887='Tablas AR'!$B$11,2,IF('Análisis de Riesgos'!G887='Tablas AR'!$B$12,3,"")))</f>
        <v/>
      </c>
      <c r="I887" s="26" t="str">
        <f t="shared" si="13"/>
        <v/>
      </c>
    </row>
    <row r="888" spans="2:9" x14ac:dyDescent="0.3">
      <c r="B888" s="27" t="str">
        <f>IFERROR(INDEX(Activos!$B$3:$C$16, MATCH(C888,Activos!$B$3:$B$16),2),"")</f>
        <v/>
      </c>
      <c r="C888" s="27"/>
      <c r="D888" s="27"/>
      <c r="E888" s="25"/>
      <c r="F888" s="26" t="str">
        <f>IF(E888='Tablas AR'!$B$4,1,IF('Análisis de Riesgos'!E888='Tablas AR'!$B$5,2,IF('Análisis de Riesgos'!E888='Tablas AR'!$B$6,3,"")))</f>
        <v/>
      </c>
      <c r="G888" s="25"/>
      <c r="H888" s="26" t="str">
        <f>IF(G888='Tablas AR'!$B$10,1,IF('Análisis de Riesgos'!G888='Tablas AR'!$B$11,2,IF('Análisis de Riesgos'!G888='Tablas AR'!$B$12,3,"")))</f>
        <v/>
      </c>
      <c r="I888" s="26" t="str">
        <f t="shared" si="13"/>
        <v/>
      </c>
    </row>
    <row r="889" spans="2:9" x14ac:dyDescent="0.3">
      <c r="B889" s="27" t="str">
        <f>IFERROR(INDEX(Activos!$B$3:$C$16, MATCH(C889,Activos!$B$3:$B$16),2),"")</f>
        <v/>
      </c>
      <c r="C889" s="27"/>
      <c r="D889" s="27"/>
      <c r="E889" s="25"/>
      <c r="F889" s="26" t="str">
        <f>IF(E889='Tablas AR'!$B$4,1,IF('Análisis de Riesgos'!E889='Tablas AR'!$B$5,2,IF('Análisis de Riesgos'!E889='Tablas AR'!$B$6,3,"")))</f>
        <v/>
      </c>
      <c r="G889" s="25"/>
      <c r="H889" s="26" t="str">
        <f>IF(G889='Tablas AR'!$B$10,1,IF('Análisis de Riesgos'!G889='Tablas AR'!$B$11,2,IF('Análisis de Riesgos'!G889='Tablas AR'!$B$12,3,"")))</f>
        <v/>
      </c>
      <c r="I889" s="26" t="str">
        <f t="shared" si="13"/>
        <v/>
      </c>
    </row>
    <row r="890" spans="2:9" x14ac:dyDescent="0.3">
      <c r="B890" s="27" t="str">
        <f>IFERROR(INDEX(Activos!$B$3:$C$16, MATCH(C890,Activos!$B$3:$B$16),2),"")</f>
        <v/>
      </c>
      <c r="C890" s="27"/>
      <c r="D890" s="27"/>
      <c r="E890" s="25"/>
      <c r="F890" s="26" t="str">
        <f>IF(E890='Tablas AR'!$B$4,1,IF('Análisis de Riesgos'!E890='Tablas AR'!$B$5,2,IF('Análisis de Riesgos'!E890='Tablas AR'!$B$6,3,"")))</f>
        <v/>
      </c>
      <c r="G890" s="25"/>
      <c r="H890" s="26" t="str">
        <f>IF(G890='Tablas AR'!$B$10,1,IF('Análisis de Riesgos'!G890='Tablas AR'!$B$11,2,IF('Análisis de Riesgos'!G890='Tablas AR'!$B$12,3,"")))</f>
        <v/>
      </c>
      <c r="I890" s="26" t="str">
        <f t="shared" si="13"/>
        <v/>
      </c>
    </row>
    <row r="891" spans="2:9" x14ac:dyDescent="0.3">
      <c r="B891" s="27" t="str">
        <f>IFERROR(INDEX(Activos!$B$3:$C$16, MATCH(C891,Activos!$B$3:$B$16),2),"")</f>
        <v/>
      </c>
      <c r="C891" s="27"/>
      <c r="D891" s="27"/>
      <c r="E891" s="25"/>
      <c r="F891" s="26" t="str">
        <f>IF(E891='Tablas AR'!$B$4,1,IF('Análisis de Riesgos'!E891='Tablas AR'!$B$5,2,IF('Análisis de Riesgos'!E891='Tablas AR'!$B$6,3,"")))</f>
        <v/>
      </c>
      <c r="G891" s="25"/>
      <c r="H891" s="26" t="str">
        <f>IF(G891='Tablas AR'!$B$10,1,IF('Análisis de Riesgos'!G891='Tablas AR'!$B$11,2,IF('Análisis de Riesgos'!G891='Tablas AR'!$B$12,3,"")))</f>
        <v/>
      </c>
      <c r="I891" s="26" t="str">
        <f t="shared" si="13"/>
        <v/>
      </c>
    </row>
    <row r="892" spans="2:9" x14ac:dyDescent="0.3">
      <c r="B892" s="27" t="str">
        <f>IFERROR(INDEX(Activos!$B$3:$C$16, MATCH(C892,Activos!$B$3:$B$16),2),"")</f>
        <v/>
      </c>
      <c r="C892" s="27"/>
      <c r="D892" s="27"/>
      <c r="E892" s="25"/>
      <c r="F892" s="26" t="str">
        <f>IF(E892='Tablas AR'!$B$4,1,IF('Análisis de Riesgos'!E892='Tablas AR'!$B$5,2,IF('Análisis de Riesgos'!E892='Tablas AR'!$B$6,3,"")))</f>
        <v/>
      </c>
      <c r="G892" s="25"/>
      <c r="H892" s="26" t="str">
        <f>IF(G892='Tablas AR'!$B$10,1,IF('Análisis de Riesgos'!G892='Tablas AR'!$B$11,2,IF('Análisis de Riesgos'!G892='Tablas AR'!$B$12,3,"")))</f>
        <v/>
      </c>
      <c r="I892" s="26" t="str">
        <f t="shared" si="13"/>
        <v/>
      </c>
    </row>
    <row r="893" spans="2:9" x14ac:dyDescent="0.3">
      <c r="B893" s="27" t="str">
        <f>IFERROR(INDEX(Activos!$B$3:$C$16, MATCH(C893,Activos!$B$3:$B$16),2),"")</f>
        <v/>
      </c>
      <c r="C893" s="27"/>
      <c r="D893" s="27"/>
      <c r="E893" s="25"/>
      <c r="F893" s="26" t="str">
        <f>IF(E893='Tablas AR'!$B$4,1,IF('Análisis de Riesgos'!E893='Tablas AR'!$B$5,2,IF('Análisis de Riesgos'!E893='Tablas AR'!$B$6,3,"")))</f>
        <v/>
      </c>
      <c r="G893" s="25"/>
      <c r="H893" s="26" t="str">
        <f>IF(G893='Tablas AR'!$B$10,1,IF('Análisis de Riesgos'!G893='Tablas AR'!$B$11,2,IF('Análisis de Riesgos'!G893='Tablas AR'!$B$12,3,"")))</f>
        <v/>
      </c>
      <c r="I893" s="26" t="str">
        <f t="shared" si="13"/>
        <v/>
      </c>
    </row>
    <row r="894" spans="2:9" x14ac:dyDescent="0.3">
      <c r="B894" s="27" t="str">
        <f>IFERROR(INDEX(Activos!$B$3:$C$16, MATCH(C894,Activos!$B$3:$B$16),2),"")</f>
        <v/>
      </c>
      <c r="C894" s="27"/>
      <c r="D894" s="27"/>
      <c r="E894" s="25"/>
      <c r="F894" s="26" t="str">
        <f>IF(E894='Tablas AR'!$B$4,1,IF('Análisis de Riesgos'!E894='Tablas AR'!$B$5,2,IF('Análisis de Riesgos'!E894='Tablas AR'!$B$6,3,"")))</f>
        <v/>
      </c>
      <c r="G894" s="25"/>
      <c r="H894" s="26" t="str">
        <f>IF(G894='Tablas AR'!$B$10,1,IF('Análisis de Riesgos'!G894='Tablas AR'!$B$11,2,IF('Análisis de Riesgos'!G894='Tablas AR'!$B$12,3,"")))</f>
        <v/>
      </c>
      <c r="I894" s="26" t="str">
        <f t="shared" si="13"/>
        <v/>
      </c>
    </row>
    <row r="895" spans="2:9" x14ac:dyDescent="0.3">
      <c r="B895" s="27" t="str">
        <f>IFERROR(INDEX(Activos!$B$3:$C$16, MATCH(C895,Activos!$B$3:$B$16),2),"")</f>
        <v/>
      </c>
      <c r="C895" s="27"/>
      <c r="D895" s="27"/>
      <c r="E895" s="25"/>
      <c r="F895" s="26" t="str">
        <f>IF(E895='Tablas AR'!$B$4,1,IF('Análisis de Riesgos'!E895='Tablas AR'!$B$5,2,IF('Análisis de Riesgos'!E895='Tablas AR'!$B$6,3,"")))</f>
        <v/>
      </c>
      <c r="G895" s="25"/>
      <c r="H895" s="26" t="str">
        <f>IF(G895='Tablas AR'!$B$10,1,IF('Análisis de Riesgos'!G895='Tablas AR'!$B$11,2,IF('Análisis de Riesgos'!G895='Tablas AR'!$B$12,3,"")))</f>
        <v/>
      </c>
      <c r="I895" s="26" t="str">
        <f t="shared" si="13"/>
        <v/>
      </c>
    </row>
    <row r="896" spans="2:9" x14ac:dyDescent="0.3">
      <c r="B896" s="27" t="str">
        <f>IFERROR(INDEX(Activos!$B$3:$C$16, MATCH(C896,Activos!$B$3:$B$16),2),"")</f>
        <v/>
      </c>
      <c r="C896" s="27"/>
      <c r="D896" s="27"/>
      <c r="E896" s="25"/>
      <c r="F896" s="26" t="str">
        <f>IF(E896='Tablas AR'!$B$4,1,IF('Análisis de Riesgos'!E896='Tablas AR'!$B$5,2,IF('Análisis de Riesgos'!E896='Tablas AR'!$B$6,3,"")))</f>
        <v/>
      </c>
      <c r="G896" s="25"/>
      <c r="H896" s="26" t="str">
        <f>IF(G896='Tablas AR'!$B$10,1,IF('Análisis de Riesgos'!G896='Tablas AR'!$B$11,2,IF('Análisis de Riesgos'!G896='Tablas AR'!$B$12,3,"")))</f>
        <v/>
      </c>
      <c r="I896" s="26" t="str">
        <f t="shared" si="13"/>
        <v/>
      </c>
    </row>
    <row r="897" spans="2:9" x14ac:dyDescent="0.3">
      <c r="B897" s="27" t="str">
        <f>IFERROR(INDEX(Activos!$B$3:$C$16, MATCH(C897,Activos!$B$3:$B$16),2),"")</f>
        <v/>
      </c>
      <c r="C897" s="27"/>
      <c r="D897" s="27"/>
      <c r="E897" s="25"/>
      <c r="F897" s="26" t="str">
        <f>IF(E897='Tablas AR'!$B$4,1,IF('Análisis de Riesgos'!E897='Tablas AR'!$B$5,2,IF('Análisis de Riesgos'!E897='Tablas AR'!$B$6,3,"")))</f>
        <v/>
      </c>
      <c r="G897" s="25"/>
      <c r="H897" s="26" t="str">
        <f>IF(G897='Tablas AR'!$B$10,1,IF('Análisis de Riesgos'!G897='Tablas AR'!$B$11,2,IF('Análisis de Riesgos'!G897='Tablas AR'!$B$12,3,"")))</f>
        <v/>
      </c>
      <c r="I897" s="26" t="str">
        <f t="shared" si="13"/>
        <v/>
      </c>
    </row>
    <row r="898" spans="2:9" x14ac:dyDescent="0.3">
      <c r="B898" s="27" t="str">
        <f>IFERROR(INDEX(Activos!$B$3:$C$16, MATCH(C898,Activos!$B$3:$B$16),2),"")</f>
        <v/>
      </c>
      <c r="C898" s="27"/>
      <c r="D898" s="27"/>
      <c r="E898" s="25"/>
      <c r="F898" s="26" t="str">
        <f>IF(E898='Tablas AR'!$B$4,1,IF('Análisis de Riesgos'!E898='Tablas AR'!$B$5,2,IF('Análisis de Riesgos'!E898='Tablas AR'!$B$6,3,"")))</f>
        <v/>
      </c>
      <c r="G898" s="25"/>
      <c r="H898" s="26" t="str">
        <f>IF(G898='Tablas AR'!$B$10,1,IF('Análisis de Riesgos'!G898='Tablas AR'!$B$11,2,IF('Análisis de Riesgos'!G898='Tablas AR'!$B$12,3,"")))</f>
        <v/>
      </c>
      <c r="I898" s="26" t="str">
        <f t="shared" si="13"/>
        <v/>
      </c>
    </row>
    <row r="899" spans="2:9" x14ac:dyDescent="0.3">
      <c r="B899" s="27" t="str">
        <f>IFERROR(INDEX(Activos!$B$3:$C$16, MATCH(C899,Activos!$B$3:$B$16),2),"")</f>
        <v/>
      </c>
      <c r="C899" s="27"/>
      <c r="D899" s="27"/>
      <c r="E899" s="25"/>
      <c r="F899" s="26" t="str">
        <f>IF(E899='Tablas AR'!$B$4,1,IF('Análisis de Riesgos'!E899='Tablas AR'!$B$5,2,IF('Análisis de Riesgos'!E899='Tablas AR'!$B$6,3,"")))</f>
        <v/>
      </c>
      <c r="G899" s="25"/>
      <c r="H899" s="26" t="str">
        <f>IF(G899='Tablas AR'!$B$10,1,IF('Análisis de Riesgos'!G899='Tablas AR'!$B$11,2,IF('Análisis de Riesgos'!G899='Tablas AR'!$B$12,3,"")))</f>
        <v/>
      </c>
      <c r="I899" s="26" t="str">
        <f t="shared" si="13"/>
        <v/>
      </c>
    </row>
    <row r="900" spans="2:9" x14ac:dyDescent="0.3">
      <c r="B900" s="27" t="str">
        <f>IFERROR(INDEX(Activos!$B$3:$C$16, MATCH(C900,Activos!$B$3:$B$16),2),"")</f>
        <v/>
      </c>
      <c r="C900" s="27"/>
      <c r="D900" s="27"/>
      <c r="E900" s="25"/>
      <c r="F900" s="26" t="str">
        <f>IF(E900='Tablas AR'!$B$4,1,IF('Análisis de Riesgos'!E900='Tablas AR'!$B$5,2,IF('Análisis de Riesgos'!E900='Tablas AR'!$B$6,3,"")))</f>
        <v/>
      </c>
      <c r="G900" s="25"/>
      <c r="H900" s="26" t="str">
        <f>IF(G900='Tablas AR'!$B$10,1,IF('Análisis de Riesgos'!G900='Tablas AR'!$B$11,2,IF('Análisis de Riesgos'!G900='Tablas AR'!$B$12,3,"")))</f>
        <v/>
      </c>
      <c r="I900" s="26" t="str">
        <f t="shared" ref="I900:I931" si="14" xml:space="preserve"> IFERROR(F900*H900,"")</f>
        <v/>
      </c>
    </row>
    <row r="901" spans="2:9" x14ac:dyDescent="0.3">
      <c r="B901" s="27" t="str">
        <f>IFERROR(INDEX(Activos!$B$3:$C$16, MATCH(C901,Activos!$B$3:$B$16),2),"")</f>
        <v/>
      </c>
      <c r="C901" s="27"/>
      <c r="D901" s="27"/>
      <c r="E901" s="25"/>
      <c r="F901" s="26" t="str">
        <f>IF(E901='Tablas AR'!$B$4,1,IF('Análisis de Riesgos'!E901='Tablas AR'!$B$5,2,IF('Análisis de Riesgos'!E901='Tablas AR'!$B$6,3,"")))</f>
        <v/>
      </c>
      <c r="G901" s="25"/>
      <c r="H901" s="26" t="str">
        <f>IF(G901='Tablas AR'!$B$10,1,IF('Análisis de Riesgos'!G901='Tablas AR'!$B$11,2,IF('Análisis de Riesgos'!G901='Tablas AR'!$B$12,3,"")))</f>
        <v/>
      </c>
      <c r="I901" s="26" t="str">
        <f t="shared" si="14"/>
        <v/>
      </c>
    </row>
    <row r="902" spans="2:9" x14ac:dyDescent="0.3">
      <c r="B902" s="27" t="str">
        <f>IFERROR(INDEX(Activos!$B$3:$C$16, MATCH(C902,Activos!$B$3:$B$16),2),"")</f>
        <v/>
      </c>
      <c r="C902" s="27"/>
      <c r="D902" s="27"/>
      <c r="E902" s="25"/>
      <c r="F902" s="26" t="str">
        <f>IF(E902='Tablas AR'!$B$4,1,IF('Análisis de Riesgos'!E902='Tablas AR'!$B$5,2,IF('Análisis de Riesgos'!E902='Tablas AR'!$B$6,3,"")))</f>
        <v/>
      </c>
      <c r="G902" s="25"/>
      <c r="H902" s="26" t="str">
        <f>IF(G902='Tablas AR'!$B$10,1,IF('Análisis de Riesgos'!G902='Tablas AR'!$B$11,2,IF('Análisis de Riesgos'!G902='Tablas AR'!$B$12,3,"")))</f>
        <v/>
      </c>
      <c r="I902" s="26" t="str">
        <f t="shared" si="14"/>
        <v/>
      </c>
    </row>
    <row r="903" spans="2:9" x14ac:dyDescent="0.3">
      <c r="B903" s="27" t="str">
        <f>IFERROR(INDEX(Activos!$B$3:$C$16, MATCH(C903,Activos!$B$3:$B$16),2),"")</f>
        <v/>
      </c>
      <c r="C903" s="27"/>
      <c r="D903" s="27"/>
      <c r="E903" s="25"/>
      <c r="F903" s="26" t="str">
        <f>IF(E903='Tablas AR'!$B$4,1,IF('Análisis de Riesgos'!E903='Tablas AR'!$B$5,2,IF('Análisis de Riesgos'!E903='Tablas AR'!$B$6,3,"")))</f>
        <v/>
      </c>
      <c r="G903" s="25"/>
      <c r="H903" s="26" t="str">
        <f>IF(G903='Tablas AR'!$B$10,1,IF('Análisis de Riesgos'!G903='Tablas AR'!$B$11,2,IF('Análisis de Riesgos'!G903='Tablas AR'!$B$12,3,"")))</f>
        <v/>
      </c>
      <c r="I903" s="26" t="str">
        <f t="shared" si="14"/>
        <v/>
      </c>
    </row>
    <row r="904" spans="2:9" x14ac:dyDescent="0.3">
      <c r="B904" s="27" t="str">
        <f>IFERROR(INDEX(Activos!$B$3:$C$16, MATCH(C904,Activos!$B$3:$B$16),2),"")</f>
        <v/>
      </c>
      <c r="C904" s="27"/>
      <c r="D904" s="27"/>
      <c r="E904" s="25"/>
      <c r="F904" s="26" t="str">
        <f>IF(E904='Tablas AR'!$B$4,1,IF('Análisis de Riesgos'!E904='Tablas AR'!$B$5,2,IF('Análisis de Riesgos'!E904='Tablas AR'!$B$6,3,"")))</f>
        <v/>
      </c>
      <c r="G904" s="25"/>
      <c r="H904" s="26" t="str">
        <f>IF(G904='Tablas AR'!$B$10,1,IF('Análisis de Riesgos'!G904='Tablas AR'!$B$11,2,IF('Análisis de Riesgos'!G904='Tablas AR'!$B$12,3,"")))</f>
        <v/>
      </c>
      <c r="I904" s="26" t="str">
        <f t="shared" si="14"/>
        <v/>
      </c>
    </row>
    <row r="905" spans="2:9" x14ac:dyDescent="0.3">
      <c r="B905" s="27" t="str">
        <f>IFERROR(INDEX(Activos!$B$3:$C$16, MATCH(C905,Activos!$B$3:$B$16),2),"")</f>
        <v/>
      </c>
      <c r="C905" s="27"/>
      <c r="D905" s="27"/>
      <c r="E905" s="25"/>
      <c r="F905" s="26" t="str">
        <f>IF(E905='Tablas AR'!$B$4,1,IF('Análisis de Riesgos'!E905='Tablas AR'!$B$5,2,IF('Análisis de Riesgos'!E905='Tablas AR'!$B$6,3,"")))</f>
        <v/>
      </c>
      <c r="G905" s="25"/>
      <c r="H905" s="26" t="str">
        <f>IF(G905='Tablas AR'!$B$10,1,IF('Análisis de Riesgos'!G905='Tablas AR'!$B$11,2,IF('Análisis de Riesgos'!G905='Tablas AR'!$B$12,3,"")))</f>
        <v/>
      </c>
      <c r="I905" s="26" t="str">
        <f t="shared" si="14"/>
        <v/>
      </c>
    </row>
    <row r="906" spans="2:9" x14ac:dyDescent="0.3">
      <c r="B906" s="27" t="str">
        <f>IFERROR(INDEX(Activos!$B$3:$C$16, MATCH(C906,Activos!$B$3:$B$16),2),"")</f>
        <v/>
      </c>
      <c r="C906" s="27"/>
      <c r="D906" s="27"/>
      <c r="E906" s="25"/>
      <c r="F906" s="26" t="str">
        <f>IF(E906='Tablas AR'!$B$4,1,IF('Análisis de Riesgos'!E906='Tablas AR'!$B$5,2,IF('Análisis de Riesgos'!E906='Tablas AR'!$B$6,3,"")))</f>
        <v/>
      </c>
      <c r="G906" s="25"/>
      <c r="H906" s="26" t="str">
        <f>IF(G906='Tablas AR'!$B$10,1,IF('Análisis de Riesgos'!G906='Tablas AR'!$B$11,2,IF('Análisis de Riesgos'!G906='Tablas AR'!$B$12,3,"")))</f>
        <v/>
      </c>
      <c r="I906" s="26" t="str">
        <f t="shared" si="14"/>
        <v/>
      </c>
    </row>
    <row r="907" spans="2:9" x14ac:dyDescent="0.3">
      <c r="B907" s="27" t="str">
        <f>IFERROR(INDEX(Activos!$B$3:$C$16, MATCH(C907,Activos!$B$3:$B$16),2),"")</f>
        <v/>
      </c>
      <c r="C907" s="27"/>
      <c r="D907" s="27"/>
      <c r="E907" s="25"/>
      <c r="F907" s="26" t="str">
        <f>IF(E907='Tablas AR'!$B$4,1,IF('Análisis de Riesgos'!E907='Tablas AR'!$B$5,2,IF('Análisis de Riesgos'!E907='Tablas AR'!$B$6,3,"")))</f>
        <v/>
      </c>
      <c r="G907" s="25"/>
      <c r="H907" s="26" t="str">
        <f>IF(G907='Tablas AR'!$B$10,1,IF('Análisis de Riesgos'!G907='Tablas AR'!$B$11,2,IF('Análisis de Riesgos'!G907='Tablas AR'!$B$12,3,"")))</f>
        <v/>
      </c>
      <c r="I907" s="26" t="str">
        <f t="shared" si="14"/>
        <v/>
      </c>
    </row>
    <row r="908" spans="2:9" x14ac:dyDescent="0.3">
      <c r="B908" s="27" t="str">
        <f>IFERROR(INDEX(Activos!$B$3:$C$16, MATCH(C908,Activos!$B$3:$B$16),2),"")</f>
        <v/>
      </c>
      <c r="C908" s="27"/>
      <c r="D908" s="27"/>
      <c r="E908" s="25"/>
      <c r="F908" s="26" t="str">
        <f>IF(E908='Tablas AR'!$B$4,1,IF('Análisis de Riesgos'!E908='Tablas AR'!$B$5,2,IF('Análisis de Riesgos'!E908='Tablas AR'!$B$6,3,"")))</f>
        <v/>
      </c>
      <c r="G908" s="25"/>
      <c r="H908" s="26" t="str">
        <f>IF(G908='Tablas AR'!$B$10,1,IF('Análisis de Riesgos'!G908='Tablas AR'!$B$11,2,IF('Análisis de Riesgos'!G908='Tablas AR'!$B$12,3,"")))</f>
        <v/>
      </c>
      <c r="I908" s="26" t="str">
        <f t="shared" si="14"/>
        <v/>
      </c>
    </row>
    <row r="909" spans="2:9" x14ac:dyDescent="0.3">
      <c r="B909" s="27" t="str">
        <f>IFERROR(INDEX(Activos!$B$3:$C$16, MATCH(C909,Activos!$B$3:$B$16),2),"")</f>
        <v/>
      </c>
      <c r="C909" s="27"/>
      <c r="D909" s="27"/>
      <c r="E909" s="25"/>
      <c r="F909" s="26" t="str">
        <f>IF(E909='Tablas AR'!$B$4,1,IF('Análisis de Riesgos'!E909='Tablas AR'!$B$5,2,IF('Análisis de Riesgos'!E909='Tablas AR'!$B$6,3,"")))</f>
        <v/>
      </c>
      <c r="G909" s="25"/>
      <c r="H909" s="26" t="str">
        <f>IF(G909='Tablas AR'!$B$10,1,IF('Análisis de Riesgos'!G909='Tablas AR'!$B$11,2,IF('Análisis de Riesgos'!G909='Tablas AR'!$B$12,3,"")))</f>
        <v/>
      </c>
      <c r="I909" s="26" t="str">
        <f t="shared" si="14"/>
        <v/>
      </c>
    </row>
    <row r="910" spans="2:9" x14ac:dyDescent="0.3">
      <c r="B910" s="27" t="str">
        <f>IFERROR(INDEX(Activos!$B$3:$C$16, MATCH(C910,Activos!$B$3:$B$16),2),"")</f>
        <v/>
      </c>
      <c r="C910" s="27"/>
      <c r="D910" s="27"/>
      <c r="E910" s="25"/>
      <c r="F910" s="26" t="str">
        <f>IF(E910='Tablas AR'!$B$4,1,IF('Análisis de Riesgos'!E910='Tablas AR'!$B$5,2,IF('Análisis de Riesgos'!E910='Tablas AR'!$B$6,3,"")))</f>
        <v/>
      </c>
      <c r="G910" s="25"/>
      <c r="H910" s="26" t="str">
        <f>IF(G910='Tablas AR'!$B$10,1,IF('Análisis de Riesgos'!G910='Tablas AR'!$B$11,2,IF('Análisis de Riesgos'!G910='Tablas AR'!$B$12,3,"")))</f>
        <v/>
      </c>
      <c r="I910" s="26" t="str">
        <f t="shared" si="14"/>
        <v/>
      </c>
    </row>
    <row r="911" spans="2:9" x14ac:dyDescent="0.3">
      <c r="B911" s="27" t="str">
        <f>IFERROR(INDEX(Activos!$B$3:$C$16, MATCH(C911,Activos!$B$3:$B$16),2),"")</f>
        <v/>
      </c>
      <c r="C911" s="27"/>
      <c r="D911" s="27"/>
      <c r="E911" s="25"/>
      <c r="F911" s="26" t="str">
        <f>IF(E911='Tablas AR'!$B$4,1,IF('Análisis de Riesgos'!E911='Tablas AR'!$B$5,2,IF('Análisis de Riesgos'!E911='Tablas AR'!$B$6,3,"")))</f>
        <v/>
      </c>
      <c r="G911" s="25"/>
      <c r="H911" s="26" t="str">
        <f>IF(G911='Tablas AR'!$B$10,1,IF('Análisis de Riesgos'!G911='Tablas AR'!$B$11,2,IF('Análisis de Riesgos'!G911='Tablas AR'!$B$12,3,"")))</f>
        <v/>
      </c>
      <c r="I911" s="26" t="str">
        <f t="shared" si="14"/>
        <v/>
      </c>
    </row>
    <row r="912" spans="2:9" x14ac:dyDescent="0.3">
      <c r="B912" s="27" t="str">
        <f>IFERROR(INDEX(Activos!$B$3:$C$16, MATCH(C912,Activos!$B$3:$B$16),2),"")</f>
        <v/>
      </c>
      <c r="C912" s="27"/>
      <c r="D912" s="27"/>
      <c r="E912" s="25"/>
      <c r="F912" s="26" t="str">
        <f>IF(E912='Tablas AR'!$B$4,1,IF('Análisis de Riesgos'!E912='Tablas AR'!$B$5,2,IF('Análisis de Riesgos'!E912='Tablas AR'!$B$6,3,"")))</f>
        <v/>
      </c>
      <c r="G912" s="25"/>
      <c r="H912" s="26" t="str">
        <f>IF(G912='Tablas AR'!$B$10,1,IF('Análisis de Riesgos'!G912='Tablas AR'!$B$11,2,IF('Análisis de Riesgos'!G912='Tablas AR'!$B$12,3,"")))</f>
        <v/>
      </c>
      <c r="I912" s="26" t="str">
        <f t="shared" si="14"/>
        <v/>
      </c>
    </row>
    <row r="913" spans="2:9" x14ac:dyDescent="0.3">
      <c r="B913" s="27" t="str">
        <f>IFERROR(INDEX(Activos!$B$3:$C$16, MATCH(C913,Activos!$B$3:$B$16),2),"")</f>
        <v/>
      </c>
      <c r="C913" s="27"/>
      <c r="D913" s="27"/>
      <c r="E913" s="25"/>
      <c r="F913" s="26" t="str">
        <f>IF(E913='Tablas AR'!$B$4,1,IF('Análisis de Riesgos'!E913='Tablas AR'!$B$5,2,IF('Análisis de Riesgos'!E913='Tablas AR'!$B$6,3,"")))</f>
        <v/>
      </c>
      <c r="G913" s="25"/>
      <c r="H913" s="26" t="str">
        <f>IF(G913='Tablas AR'!$B$10,1,IF('Análisis de Riesgos'!G913='Tablas AR'!$B$11,2,IF('Análisis de Riesgos'!G913='Tablas AR'!$B$12,3,"")))</f>
        <v/>
      </c>
      <c r="I913" s="26" t="str">
        <f t="shared" si="14"/>
        <v/>
      </c>
    </row>
    <row r="914" spans="2:9" x14ac:dyDescent="0.3">
      <c r="B914" s="27" t="str">
        <f>IFERROR(INDEX(Activos!$B$3:$C$16, MATCH(C914,Activos!$B$3:$B$16),2),"")</f>
        <v/>
      </c>
      <c r="C914" s="27"/>
      <c r="D914" s="27"/>
      <c r="E914" s="25"/>
      <c r="F914" s="26" t="str">
        <f>IF(E914='Tablas AR'!$B$4,1,IF('Análisis de Riesgos'!E914='Tablas AR'!$B$5,2,IF('Análisis de Riesgos'!E914='Tablas AR'!$B$6,3,"")))</f>
        <v/>
      </c>
      <c r="G914" s="25"/>
      <c r="H914" s="26" t="str">
        <f>IF(G914='Tablas AR'!$B$10,1,IF('Análisis de Riesgos'!G914='Tablas AR'!$B$11,2,IF('Análisis de Riesgos'!G914='Tablas AR'!$B$12,3,"")))</f>
        <v/>
      </c>
      <c r="I914" s="26" t="str">
        <f t="shared" si="14"/>
        <v/>
      </c>
    </row>
    <row r="915" spans="2:9" x14ac:dyDescent="0.3">
      <c r="B915" s="27" t="str">
        <f>IFERROR(INDEX(Activos!$B$3:$C$16, MATCH(C915,Activos!$B$3:$B$16),2),"")</f>
        <v/>
      </c>
      <c r="C915" s="27"/>
      <c r="D915" s="27"/>
      <c r="E915" s="25"/>
      <c r="F915" s="26" t="str">
        <f>IF(E915='Tablas AR'!$B$4,1,IF('Análisis de Riesgos'!E915='Tablas AR'!$B$5,2,IF('Análisis de Riesgos'!E915='Tablas AR'!$B$6,3,"")))</f>
        <v/>
      </c>
      <c r="G915" s="25"/>
      <c r="H915" s="26" t="str">
        <f>IF(G915='Tablas AR'!$B$10,1,IF('Análisis de Riesgos'!G915='Tablas AR'!$B$11,2,IF('Análisis de Riesgos'!G915='Tablas AR'!$B$12,3,"")))</f>
        <v/>
      </c>
      <c r="I915" s="26" t="str">
        <f t="shared" si="14"/>
        <v/>
      </c>
    </row>
    <row r="916" spans="2:9" x14ac:dyDescent="0.3">
      <c r="B916" s="27" t="str">
        <f>IFERROR(INDEX(Activos!$B$3:$C$16, MATCH(C916,Activos!$B$3:$B$16),2),"")</f>
        <v/>
      </c>
      <c r="C916" s="27"/>
      <c r="D916" s="27"/>
      <c r="E916" s="25"/>
      <c r="F916" s="26" t="str">
        <f>IF(E916='Tablas AR'!$B$4,1,IF('Análisis de Riesgos'!E916='Tablas AR'!$B$5,2,IF('Análisis de Riesgos'!E916='Tablas AR'!$B$6,3,"")))</f>
        <v/>
      </c>
      <c r="G916" s="25"/>
      <c r="H916" s="26" t="str">
        <f>IF(G916='Tablas AR'!$B$10,1,IF('Análisis de Riesgos'!G916='Tablas AR'!$B$11,2,IF('Análisis de Riesgos'!G916='Tablas AR'!$B$12,3,"")))</f>
        <v/>
      </c>
      <c r="I916" s="26" t="str">
        <f t="shared" si="14"/>
        <v/>
      </c>
    </row>
    <row r="917" spans="2:9" x14ac:dyDescent="0.3">
      <c r="B917" s="27" t="str">
        <f>IFERROR(INDEX(Activos!$B$3:$C$16, MATCH(C917,Activos!$B$3:$B$16),2),"")</f>
        <v/>
      </c>
      <c r="C917" s="27"/>
      <c r="D917" s="27"/>
      <c r="E917" s="25"/>
      <c r="F917" s="26" t="str">
        <f>IF(E917='Tablas AR'!$B$4,1,IF('Análisis de Riesgos'!E917='Tablas AR'!$B$5,2,IF('Análisis de Riesgos'!E917='Tablas AR'!$B$6,3,"")))</f>
        <v/>
      </c>
      <c r="G917" s="25"/>
      <c r="H917" s="26" t="str">
        <f>IF(G917='Tablas AR'!$B$10,1,IF('Análisis de Riesgos'!G917='Tablas AR'!$B$11,2,IF('Análisis de Riesgos'!G917='Tablas AR'!$B$12,3,"")))</f>
        <v/>
      </c>
      <c r="I917" s="26" t="str">
        <f t="shared" si="14"/>
        <v/>
      </c>
    </row>
    <row r="918" spans="2:9" x14ac:dyDescent="0.3">
      <c r="B918" s="27" t="str">
        <f>IFERROR(INDEX(Activos!$B$3:$C$16, MATCH(C918,Activos!$B$3:$B$16),2),"")</f>
        <v/>
      </c>
      <c r="C918" s="27"/>
      <c r="D918" s="27"/>
      <c r="E918" s="25"/>
      <c r="F918" s="26" t="str">
        <f>IF(E918='Tablas AR'!$B$4,1,IF('Análisis de Riesgos'!E918='Tablas AR'!$B$5,2,IF('Análisis de Riesgos'!E918='Tablas AR'!$B$6,3,"")))</f>
        <v/>
      </c>
      <c r="G918" s="25"/>
      <c r="H918" s="26" t="str">
        <f>IF(G918='Tablas AR'!$B$10,1,IF('Análisis de Riesgos'!G918='Tablas AR'!$B$11,2,IF('Análisis de Riesgos'!G918='Tablas AR'!$B$12,3,"")))</f>
        <v/>
      </c>
      <c r="I918" s="26" t="str">
        <f t="shared" si="14"/>
        <v/>
      </c>
    </row>
    <row r="919" spans="2:9" x14ac:dyDescent="0.3">
      <c r="B919" s="27" t="str">
        <f>IFERROR(INDEX(Activos!$B$3:$C$16, MATCH(C919,Activos!$B$3:$B$16),2),"")</f>
        <v/>
      </c>
      <c r="C919" s="27"/>
      <c r="D919" s="27"/>
      <c r="E919" s="25"/>
      <c r="F919" s="26" t="str">
        <f>IF(E919='Tablas AR'!$B$4,1,IF('Análisis de Riesgos'!E919='Tablas AR'!$B$5,2,IF('Análisis de Riesgos'!E919='Tablas AR'!$B$6,3,"")))</f>
        <v/>
      </c>
      <c r="G919" s="25"/>
      <c r="H919" s="26" t="str">
        <f>IF(G919='Tablas AR'!$B$10,1,IF('Análisis de Riesgos'!G919='Tablas AR'!$B$11,2,IF('Análisis de Riesgos'!G919='Tablas AR'!$B$12,3,"")))</f>
        <v/>
      </c>
      <c r="I919" s="26" t="str">
        <f t="shared" si="14"/>
        <v/>
      </c>
    </row>
    <row r="920" spans="2:9" x14ac:dyDescent="0.3">
      <c r="B920" s="27" t="str">
        <f>IFERROR(INDEX(Activos!$B$3:$C$16, MATCH(C920,Activos!$B$3:$B$16),2),"")</f>
        <v/>
      </c>
      <c r="C920" s="27"/>
      <c r="D920" s="27"/>
      <c r="E920" s="25"/>
      <c r="F920" s="26" t="str">
        <f>IF(E920='Tablas AR'!$B$4,1,IF('Análisis de Riesgos'!E920='Tablas AR'!$B$5,2,IF('Análisis de Riesgos'!E920='Tablas AR'!$B$6,3,"")))</f>
        <v/>
      </c>
      <c r="G920" s="25"/>
      <c r="H920" s="26" t="str">
        <f>IF(G920='Tablas AR'!$B$10,1,IF('Análisis de Riesgos'!G920='Tablas AR'!$B$11,2,IF('Análisis de Riesgos'!G920='Tablas AR'!$B$12,3,"")))</f>
        <v/>
      </c>
      <c r="I920" s="26" t="str">
        <f t="shared" si="14"/>
        <v/>
      </c>
    </row>
    <row r="921" spans="2:9" x14ac:dyDescent="0.3">
      <c r="B921" s="27" t="str">
        <f>IFERROR(INDEX(Activos!$B$3:$C$16, MATCH(C921,Activos!$B$3:$B$16),2),"")</f>
        <v/>
      </c>
      <c r="C921" s="27"/>
      <c r="D921" s="27"/>
      <c r="E921" s="25"/>
      <c r="F921" s="26" t="str">
        <f>IF(E921='Tablas AR'!$B$4,1,IF('Análisis de Riesgos'!E921='Tablas AR'!$B$5,2,IF('Análisis de Riesgos'!E921='Tablas AR'!$B$6,3,"")))</f>
        <v/>
      </c>
      <c r="G921" s="25"/>
      <c r="H921" s="26" t="str">
        <f>IF(G921='Tablas AR'!$B$10,1,IF('Análisis de Riesgos'!G921='Tablas AR'!$B$11,2,IF('Análisis de Riesgos'!G921='Tablas AR'!$B$12,3,"")))</f>
        <v/>
      </c>
      <c r="I921" s="26" t="str">
        <f t="shared" si="14"/>
        <v/>
      </c>
    </row>
    <row r="922" spans="2:9" x14ac:dyDescent="0.3">
      <c r="B922" s="27" t="str">
        <f>IFERROR(INDEX(Activos!$B$3:$C$16, MATCH(C922,Activos!$B$3:$B$16),2),"")</f>
        <v/>
      </c>
      <c r="C922" s="27"/>
      <c r="D922" s="27"/>
      <c r="E922" s="25"/>
      <c r="F922" s="26" t="str">
        <f>IF(E922='Tablas AR'!$B$4,1,IF('Análisis de Riesgos'!E922='Tablas AR'!$B$5,2,IF('Análisis de Riesgos'!E922='Tablas AR'!$B$6,3,"")))</f>
        <v/>
      </c>
      <c r="G922" s="25"/>
      <c r="H922" s="26" t="str">
        <f>IF(G922='Tablas AR'!$B$10,1,IF('Análisis de Riesgos'!G922='Tablas AR'!$B$11,2,IF('Análisis de Riesgos'!G922='Tablas AR'!$B$12,3,"")))</f>
        <v/>
      </c>
      <c r="I922" s="26" t="str">
        <f t="shared" si="14"/>
        <v/>
      </c>
    </row>
    <row r="923" spans="2:9" x14ac:dyDescent="0.3">
      <c r="B923" s="27" t="str">
        <f>IFERROR(INDEX(Activos!$B$3:$C$16, MATCH(C923,Activos!$B$3:$B$16),2),"")</f>
        <v/>
      </c>
      <c r="C923" s="27"/>
      <c r="D923" s="27"/>
      <c r="E923" s="25"/>
      <c r="F923" s="26" t="str">
        <f>IF(E923='Tablas AR'!$B$4,1,IF('Análisis de Riesgos'!E923='Tablas AR'!$B$5,2,IF('Análisis de Riesgos'!E923='Tablas AR'!$B$6,3,"")))</f>
        <v/>
      </c>
      <c r="G923" s="25"/>
      <c r="H923" s="26" t="str">
        <f>IF(G923='Tablas AR'!$B$10,1,IF('Análisis de Riesgos'!G923='Tablas AR'!$B$11,2,IF('Análisis de Riesgos'!G923='Tablas AR'!$B$12,3,"")))</f>
        <v/>
      </c>
      <c r="I923" s="26" t="str">
        <f t="shared" si="14"/>
        <v/>
      </c>
    </row>
    <row r="924" spans="2:9" x14ac:dyDescent="0.3">
      <c r="B924" s="27" t="str">
        <f>IFERROR(INDEX(Activos!$B$3:$C$16, MATCH(C924,Activos!$B$3:$B$16),2),"")</f>
        <v/>
      </c>
      <c r="C924" s="27"/>
      <c r="D924" s="27"/>
      <c r="E924" s="25"/>
      <c r="F924" s="26" t="str">
        <f>IF(E924='Tablas AR'!$B$4,1,IF('Análisis de Riesgos'!E924='Tablas AR'!$B$5,2,IF('Análisis de Riesgos'!E924='Tablas AR'!$B$6,3,"")))</f>
        <v/>
      </c>
      <c r="G924" s="25"/>
      <c r="H924" s="26" t="str">
        <f>IF(G924='Tablas AR'!$B$10,1,IF('Análisis de Riesgos'!G924='Tablas AR'!$B$11,2,IF('Análisis de Riesgos'!G924='Tablas AR'!$B$12,3,"")))</f>
        <v/>
      </c>
      <c r="I924" s="26" t="str">
        <f t="shared" si="14"/>
        <v/>
      </c>
    </row>
    <row r="925" spans="2:9" x14ac:dyDescent="0.3">
      <c r="B925" s="27" t="str">
        <f>IFERROR(INDEX(Activos!$B$3:$C$16, MATCH(C925,Activos!$B$3:$B$16),2),"")</f>
        <v/>
      </c>
      <c r="C925" s="27"/>
      <c r="D925" s="27"/>
      <c r="E925" s="25"/>
      <c r="F925" s="26" t="str">
        <f>IF(E925='Tablas AR'!$B$4,1,IF('Análisis de Riesgos'!E925='Tablas AR'!$B$5,2,IF('Análisis de Riesgos'!E925='Tablas AR'!$B$6,3,"")))</f>
        <v/>
      </c>
      <c r="G925" s="25"/>
      <c r="H925" s="26" t="str">
        <f>IF(G925='Tablas AR'!$B$10,1,IF('Análisis de Riesgos'!G925='Tablas AR'!$B$11,2,IF('Análisis de Riesgos'!G925='Tablas AR'!$B$12,3,"")))</f>
        <v/>
      </c>
      <c r="I925" s="26" t="str">
        <f t="shared" si="14"/>
        <v/>
      </c>
    </row>
    <row r="926" spans="2:9" x14ac:dyDescent="0.3">
      <c r="B926" s="27" t="str">
        <f>IFERROR(INDEX(Activos!$B$3:$C$16, MATCH(C926,Activos!$B$3:$B$16),2),"")</f>
        <v/>
      </c>
      <c r="C926" s="27"/>
      <c r="D926" s="27"/>
      <c r="E926" s="25"/>
      <c r="F926" s="26" t="str">
        <f>IF(E926='Tablas AR'!$B$4,1,IF('Análisis de Riesgos'!E926='Tablas AR'!$B$5,2,IF('Análisis de Riesgos'!E926='Tablas AR'!$B$6,3,"")))</f>
        <v/>
      </c>
      <c r="G926" s="25"/>
      <c r="H926" s="26" t="str">
        <f>IF(G926='Tablas AR'!$B$10,1,IF('Análisis de Riesgos'!G926='Tablas AR'!$B$11,2,IF('Análisis de Riesgos'!G926='Tablas AR'!$B$12,3,"")))</f>
        <v/>
      </c>
      <c r="I926" s="26" t="str">
        <f t="shared" si="14"/>
        <v/>
      </c>
    </row>
    <row r="927" spans="2:9" x14ac:dyDescent="0.3">
      <c r="B927" s="27" t="str">
        <f>IFERROR(INDEX(Activos!$B$3:$C$16, MATCH(C927,Activos!$B$3:$B$16),2),"")</f>
        <v/>
      </c>
      <c r="C927" s="27"/>
      <c r="D927" s="27"/>
      <c r="E927" s="25"/>
      <c r="F927" s="26" t="str">
        <f>IF(E927='Tablas AR'!$B$4,1,IF('Análisis de Riesgos'!E927='Tablas AR'!$B$5,2,IF('Análisis de Riesgos'!E927='Tablas AR'!$B$6,3,"")))</f>
        <v/>
      </c>
      <c r="G927" s="25"/>
      <c r="H927" s="26" t="str">
        <f>IF(G927='Tablas AR'!$B$10,1,IF('Análisis de Riesgos'!G927='Tablas AR'!$B$11,2,IF('Análisis de Riesgos'!G927='Tablas AR'!$B$12,3,"")))</f>
        <v/>
      </c>
      <c r="I927" s="26" t="str">
        <f t="shared" si="14"/>
        <v/>
      </c>
    </row>
    <row r="928" spans="2:9" x14ac:dyDescent="0.3">
      <c r="B928" s="27" t="str">
        <f>IFERROR(INDEX(Activos!$B$3:$C$16, MATCH(C928,Activos!$B$3:$B$16),2),"")</f>
        <v/>
      </c>
      <c r="C928" s="27"/>
      <c r="D928" s="27"/>
      <c r="E928" s="25"/>
      <c r="F928" s="26" t="str">
        <f>IF(E928='Tablas AR'!$B$4,1,IF('Análisis de Riesgos'!E928='Tablas AR'!$B$5,2,IF('Análisis de Riesgos'!E928='Tablas AR'!$B$6,3,"")))</f>
        <v/>
      </c>
      <c r="G928" s="25"/>
      <c r="H928" s="26" t="str">
        <f>IF(G928='Tablas AR'!$B$10,1,IF('Análisis de Riesgos'!G928='Tablas AR'!$B$11,2,IF('Análisis de Riesgos'!G928='Tablas AR'!$B$12,3,"")))</f>
        <v/>
      </c>
      <c r="I928" s="26" t="str">
        <f t="shared" si="14"/>
        <v/>
      </c>
    </row>
    <row r="929" spans="2:9" x14ac:dyDescent="0.3">
      <c r="B929" s="27" t="str">
        <f>IFERROR(INDEX(Activos!$B$3:$C$16, MATCH(C929,Activos!$B$3:$B$16),2),"")</f>
        <v/>
      </c>
      <c r="C929" s="27"/>
      <c r="D929" s="27"/>
      <c r="E929" s="25"/>
      <c r="F929" s="26" t="str">
        <f>IF(E929='Tablas AR'!$B$4,1,IF('Análisis de Riesgos'!E929='Tablas AR'!$B$5,2,IF('Análisis de Riesgos'!E929='Tablas AR'!$B$6,3,"")))</f>
        <v/>
      </c>
      <c r="G929" s="25"/>
      <c r="H929" s="26" t="str">
        <f>IF(G929='Tablas AR'!$B$10,1,IF('Análisis de Riesgos'!G929='Tablas AR'!$B$11,2,IF('Análisis de Riesgos'!G929='Tablas AR'!$B$12,3,"")))</f>
        <v/>
      </c>
      <c r="I929" s="26" t="str">
        <f t="shared" si="14"/>
        <v/>
      </c>
    </row>
    <row r="930" spans="2:9" x14ac:dyDescent="0.3">
      <c r="B930" s="27" t="str">
        <f>IFERROR(INDEX(Activos!$B$3:$C$16, MATCH(C930,Activos!$B$3:$B$16),2),"")</f>
        <v/>
      </c>
      <c r="C930" s="27"/>
      <c r="D930" s="27"/>
      <c r="E930" s="25"/>
      <c r="G930" s="25"/>
      <c r="H930" s="26" t="str">
        <f>IF(G930='Tablas AR'!$B$10,1,IF('Análisis de Riesgos'!G930='Tablas AR'!$B$11,2,IF('Análisis de Riesgos'!G930='Tablas AR'!$B$12,3,"")))</f>
        <v/>
      </c>
      <c r="I930" s="26" t="str">
        <f t="shared" si="14"/>
        <v/>
      </c>
    </row>
    <row r="931" spans="2:9" x14ac:dyDescent="0.3">
      <c r="B931" s="27" t="str">
        <f>IFERROR(INDEX(Activos!$B$3:$C$16, MATCH(C931,Activos!$B$3:$B$16),2),"")</f>
        <v/>
      </c>
      <c r="C931" s="27"/>
      <c r="D931" s="27"/>
      <c r="E931" s="25"/>
      <c r="G931" s="25"/>
      <c r="H931" s="26" t="str">
        <f>IF(G931='Tablas AR'!$B$10,1,IF('Análisis de Riesgos'!G931='Tablas AR'!$B$11,2,IF('Análisis de Riesgos'!G931='Tablas AR'!$B$12,3,"")))</f>
        <v/>
      </c>
      <c r="I931" s="26" t="str">
        <f t="shared" si="14"/>
        <v/>
      </c>
    </row>
    <row r="932" spans="2:9" x14ac:dyDescent="0.3">
      <c r="B932" s="27" t="str">
        <f>IFERROR(INDEX(Activos!$B$3:$C$16, MATCH(C932,Activos!$B$3:$B$16),2),"")</f>
        <v/>
      </c>
      <c r="C932" s="27"/>
      <c r="D932" s="27"/>
      <c r="E932" s="25"/>
      <c r="G932" s="25"/>
      <c r="I932" s="26"/>
    </row>
    <row r="933" spans="2:9" x14ac:dyDescent="0.3">
      <c r="B933" s="27" t="str">
        <f>IFERROR(INDEX(Activos!$B$3:$C$16, MATCH(C933,Activos!$B$3:$B$16),2),"")</f>
        <v/>
      </c>
      <c r="C933" s="27"/>
      <c r="D933" s="27"/>
      <c r="E933" s="25"/>
      <c r="G933" s="25"/>
      <c r="I933" s="26"/>
    </row>
    <row r="934" spans="2:9" x14ac:dyDescent="0.3">
      <c r="B934" s="26"/>
      <c r="C934" s="26"/>
      <c r="D934" s="26"/>
    </row>
    <row r="935" spans="2:9" x14ac:dyDescent="0.3">
      <c r="B935" s="26"/>
      <c r="C935" s="26"/>
      <c r="D935" s="26"/>
    </row>
    <row r="936" spans="2:9" x14ac:dyDescent="0.3">
      <c r="B936" s="26"/>
      <c r="C936" s="26"/>
      <c r="D936" s="26"/>
    </row>
    <row r="937" spans="2:9" x14ac:dyDescent="0.3">
      <c r="B937" s="26"/>
      <c r="C937" s="26"/>
      <c r="D937" s="26"/>
    </row>
    <row r="938" spans="2:9" x14ac:dyDescent="0.3">
      <c r="B938" s="26"/>
      <c r="C938" s="26"/>
      <c r="D938" s="26"/>
    </row>
    <row r="939" spans="2:9" x14ac:dyDescent="0.3">
      <c r="B939" s="26"/>
      <c r="C939" s="26"/>
      <c r="D939" s="26"/>
    </row>
    <row r="940" spans="2:9" x14ac:dyDescent="0.3">
      <c r="B940" s="26"/>
      <c r="C940" s="26"/>
      <c r="D940" s="26"/>
    </row>
    <row r="941" spans="2:9" x14ac:dyDescent="0.3">
      <c r="B941" s="26"/>
      <c r="C941" s="26"/>
      <c r="D941" s="26"/>
    </row>
    <row r="942" spans="2:9" x14ac:dyDescent="0.3">
      <c r="B942" s="26"/>
      <c r="C942" s="26"/>
      <c r="D942" s="26"/>
    </row>
    <row r="943" spans="2:9" x14ac:dyDescent="0.3">
      <c r="B943" s="26"/>
      <c r="C943" s="26"/>
      <c r="D943" s="26"/>
    </row>
    <row r="944" spans="2:9" x14ac:dyDescent="0.3">
      <c r="B944" s="26"/>
      <c r="C944" s="26"/>
      <c r="D944" s="26"/>
    </row>
    <row r="945" spans="2:4" x14ac:dyDescent="0.3">
      <c r="B945" s="26"/>
      <c r="C945" s="26"/>
      <c r="D945" s="26"/>
    </row>
    <row r="946" spans="2:4" x14ac:dyDescent="0.3">
      <c r="B946" s="26"/>
      <c r="C946" s="26"/>
      <c r="D946" s="26"/>
    </row>
    <row r="947" spans="2:4" x14ac:dyDescent="0.3">
      <c r="B947" s="26"/>
      <c r="C947" s="26"/>
      <c r="D947" s="26"/>
    </row>
    <row r="948" spans="2:4" x14ac:dyDescent="0.3">
      <c r="B948" s="26"/>
      <c r="C948" s="26"/>
      <c r="D948" s="26"/>
    </row>
    <row r="949" spans="2:4" x14ac:dyDescent="0.3">
      <c r="B949" s="26"/>
      <c r="C949" s="26"/>
      <c r="D949" s="26"/>
    </row>
    <row r="950" spans="2:4" x14ac:dyDescent="0.3">
      <c r="B950" s="26"/>
      <c r="C950" s="26"/>
      <c r="D950" s="26"/>
    </row>
    <row r="951" spans="2:4" x14ac:dyDescent="0.3">
      <c r="B951" s="26"/>
      <c r="C951" s="26"/>
      <c r="D951" s="26"/>
    </row>
    <row r="952" spans="2:4" x14ac:dyDescent="0.3">
      <c r="B952" s="26"/>
      <c r="C952" s="26"/>
      <c r="D952" s="26"/>
    </row>
    <row r="953" spans="2:4" x14ac:dyDescent="0.3">
      <c r="B953" s="26"/>
      <c r="C953" s="26"/>
      <c r="D953" s="26"/>
    </row>
    <row r="954" spans="2:4" x14ac:dyDescent="0.3">
      <c r="B954" s="26"/>
      <c r="C954" s="26"/>
      <c r="D954" s="26"/>
    </row>
    <row r="955" spans="2:4" x14ac:dyDescent="0.3">
      <c r="B955" s="26"/>
      <c r="C955" s="26"/>
      <c r="D955" s="26"/>
    </row>
    <row r="956" spans="2:4" x14ac:dyDescent="0.3">
      <c r="B956" s="26"/>
      <c r="C956" s="26"/>
      <c r="D956" s="26"/>
    </row>
    <row r="957" spans="2:4" x14ac:dyDescent="0.3">
      <c r="B957" s="26"/>
      <c r="C957" s="26"/>
      <c r="D957" s="26"/>
    </row>
    <row r="958" spans="2:4" x14ac:dyDescent="0.3">
      <c r="B958" s="26"/>
      <c r="C958" s="26"/>
      <c r="D958" s="26"/>
    </row>
    <row r="959" spans="2:4" x14ac:dyDescent="0.3">
      <c r="B959" s="26"/>
      <c r="C959" s="26"/>
      <c r="D959" s="26"/>
    </row>
    <row r="960" spans="2:4" x14ac:dyDescent="0.3">
      <c r="B960" s="26"/>
      <c r="C960" s="26"/>
      <c r="D960" s="26"/>
    </row>
    <row r="961" spans="2:4" x14ac:dyDescent="0.3">
      <c r="B961" s="26"/>
      <c r="C961" s="26"/>
      <c r="D961" s="26"/>
    </row>
    <row r="962" spans="2:4" x14ac:dyDescent="0.3">
      <c r="B962" s="26"/>
      <c r="C962" s="26"/>
      <c r="D962" s="26"/>
    </row>
    <row r="963" spans="2:4" x14ac:dyDescent="0.3">
      <c r="B963" s="26"/>
      <c r="C963" s="26"/>
      <c r="D963" s="26"/>
    </row>
    <row r="964" spans="2:4" x14ac:dyDescent="0.3">
      <c r="B964" s="26"/>
      <c r="C964" s="26"/>
      <c r="D964" s="26"/>
    </row>
    <row r="965" spans="2:4" x14ac:dyDescent="0.3">
      <c r="B965" s="26"/>
      <c r="C965" s="26"/>
      <c r="D965" s="26"/>
    </row>
    <row r="966" spans="2:4" x14ac:dyDescent="0.3">
      <c r="B966" s="26"/>
      <c r="C966" s="26"/>
      <c r="D966" s="26"/>
    </row>
    <row r="967" spans="2:4" x14ac:dyDescent="0.3">
      <c r="B967" s="26"/>
      <c r="C967" s="26"/>
      <c r="D967" s="26"/>
    </row>
    <row r="968" spans="2:4" x14ac:dyDescent="0.3">
      <c r="B968" s="26"/>
      <c r="C968" s="26"/>
      <c r="D968" s="26"/>
    </row>
    <row r="969" spans="2:4" x14ac:dyDescent="0.3">
      <c r="B969" s="26"/>
      <c r="C969" s="26"/>
      <c r="D969" s="26"/>
    </row>
    <row r="970" spans="2:4" x14ac:dyDescent="0.3">
      <c r="B970" s="26"/>
      <c r="C970" s="26"/>
      <c r="D970" s="26"/>
    </row>
    <row r="971" spans="2:4" x14ac:dyDescent="0.3">
      <c r="B971" s="26"/>
      <c r="C971" s="26"/>
      <c r="D971" s="26"/>
    </row>
    <row r="972" spans="2:4" x14ac:dyDescent="0.3">
      <c r="B972" s="26"/>
      <c r="C972" s="26"/>
      <c r="D972" s="26"/>
    </row>
    <row r="973" spans="2:4" x14ac:dyDescent="0.3">
      <c r="B973" s="26"/>
      <c r="C973" s="26"/>
      <c r="D973" s="26"/>
    </row>
    <row r="974" spans="2:4" x14ac:dyDescent="0.3">
      <c r="B974" s="26"/>
      <c r="C974" s="26"/>
      <c r="D974" s="26"/>
    </row>
    <row r="975" spans="2:4" x14ac:dyDescent="0.3">
      <c r="B975" s="26"/>
      <c r="C975" s="26"/>
      <c r="D975" s="26"/>
    </row>
    <row r="976" spans="2:4" x14ac:dyDescent="0.3">
      <c r="B976" s="26"/>
      <c r="C976" s="26"/>
      <c r="D976" s="26"/>
    </row>
    <row r="977" spans="2:4" x14ac:dyDescent="0.3">
      <c r="B977" s="26"/>
      <c r="C977" s="26"/>
      <c r="D977" s="26"/>
    </row>
    <row r="978" spans="2:4" x14ac:dyDescent="0.3">
      <c r="B978" s="26"/>
      <c r="C978" s="26"/>
      <c r="D978" s="26"/>
    </row>
    <row r="979" spans="2:4" x14ac:dyDescent="0.3">
      <c r="B979" s="26"/>
      <c r="C979" s="26"/>
      <c r="D979" s="26"/>
    </row>
    <row r="980" spans="2:4" x14ac:dyDescent="0.3">
      <c r="B980" s="26"/>
      <c r="C980" s="26"/>
      <c r="D980" s="26"/>
    </row>
    <row r="981" spans="2:4" x14ac:dyDescent="0.3">
      <c r="B981" s="26"/>
      <c r="C981" s="26"/>
      <c r="D981" s="26"/>
    </row>
    <row r="982" spans="2:4" x14ac:dyDescent="0.3">
      <c r="B982" s="26"/>
      <c r="C982" s="26"/>
      <c r="D982" s="26"/>
    </row>
    <row r="983" spans="2:4" x14ac:dyDescent="0.3">
      <c r="B983" s="26"/>
      <c r="C983" s="26"/>
      <c r="D983" s="26"/>
    </row>
    <row r="984" spans="2:4" x14ac:dyDescent="0.3">
      <c r="B984" s="26"/>
      <c r="C984" s="26"/>
      <c r="D984" s="26"/>
    </row>
    <row r="985" spans="2:4" x14ac:dyDescent="0.3">
      <c r="B985" s="26"/>
      <c r="C985" s="26"/>
      <c r="D985" s="26"/>
    </row>
    <row r="986" spans="2:4" x14ac:dyDescent="0.3">
      <c r="B986" s="26"/>
      <c r="C986" s="26"/>
      <c r="D986" s="26"/>
    </row>
    <row r="987" spans="2:4" x14ac:dyDescent="0.3">
      <c r="B987" s="26"/>
      <c r="C987" s="26"/>
      <c r="D987" s="26"/>
    </row>
    <row r="988" spans="2:4" x14ac:dyDescent="0.3">
      <c r="B988" s="26"/>
      <c r="C988" s="26"/>
      <c r="D988" s="26"/>
    </row>
    <row r="989" spans="2:4" x14ac:dyDescent="0.3">
      <c r="B989" s="26"/>
      <c r="C989" s="26"/>
      <c r="D989" s="26"/>
    </row>
    <row r="990" spans="2:4" x14ac:dyDescent="0.3">
      <c r="B990" s="26"/>
      <c r="C990" s="26"/>
      <c r="D990" s="26"/>
    </row>
    <row r="991" spans="2:4" x14ac:dyDescent="0.3">
      <c r="B991" s="26"/>
      <c r="C991" s="26"/>
      <c r="D991" s="26"/>
    </row>
    <row r="992" spans="2:4" x14ac:dyDescent="0.3">
      <c r="B992" s="26"/>
      <c r="C992" s="26"/>
      <c r="D992" s="26"/>
    </row>
    <row r="993" spans="2:4" x14ac:dyDescent="0.3">
      <c r="B993" s="26"/>
      <c r="C993" s="26"/>
      <c r="D993" s="26"/>
    </row>
    <row r="994" spans="2:4" x14ac:dyDescent="0.3">
      <c r="B994" s="26"/>
      <c r="C994" s="26"/>
      <c r="D994" s="26"/>
    </row>
    <row r="995" spans="2:4" x14ac:dyDescent="0.3">
      <c r="B995" s="26"/>
      <c r="C995" s="26"/>
      <c r="D995" s="26"/>
    </row>
    <row r="996" spans="2:4" x14ac:dyDescent="0.3">
      <c r="B996" s="26"/>
      <c r="C996" s="26"/>
      <c r="D996" s="26"/>
    </row>
    <row r="997" spans="2:4" x14ac:dyDescent="0.3">
      <c r="B997" s="26"/>
      <c r="C997" s="26"/>
      <c r="D997" s="26"/>
    </row>
    <row r="998" spans="2:4" x14ac:dyDescent="0.3">
      <c r="B998" s="26"/>
      <c r="C998" s="26"/>
      <c r="D998" s="26"/>
    </row>
    <row r="999" spans="2:4" x14ac:dyDescent="0.3">
      <c r="B999" s="26"/>
      <c r="C999" s="26"/>
      <c r="D999" s="26"/>
    </row>
    <row r="1000" spans="2:4" x14ac:dyDescent="0.3">
      <c r="B1000" s="26"/>
      <c r="C1000" s="26"/>
      <c r="D1000" s="26"/>
    </row>
    <row r="1001" spans="2:4" x14ac:dyDescent="0.3">
      <c r="B1001" s="26"/>
      <c r="C1001" s="26"/>
      <c r="D1001" s="26"/>
    </row>
    <row r="1002" spans="2:4" x14ac:dyDescent="0.3">
      <c r="B1002" s="26"/>
      <c r="C1002" s="26"/>
      <c r="D1002" s="26"/>
    </row>
    <row r="1003" spans="2:4" x14ac:dyDescent="0.3">
      <c r="B1003" s="26"/>
      <c r="C1003" s="26"/>
      <c r="D1003" s="26"/>
    </row>
    <row r="1004" spans="2:4" x14ac:dyDescent="0.3">
      <c r="B1004" s="26"/>
      <c r="C1004" s="26"/>
      <c r="D1004" s="26"/>
    </row>
    <row r="1005" spans="2:4" x14ac:dyDescent="0.3">
      <c r="B1005" s="26"/>
      <c r="C1005" s="26"/>
      <c r="D1005" s="26"/>
    </row>
    <row r="1006" spans="2:4" x14ac:dyDescent="0.3">
      <c r="B1006" s="26"/>
      <c r="C1006" s="26"/>
      <c r="D1006" s="26"/>
    </row>
    <row r="1007" spans="2:4" x14ac:dyDescent="0.3">
      <c r="B1007" s="26"/>
      <c r="C1007" s="26"/>
      <c r="D1007" s="26"/>
    </row>
    <row r="1008" spans="2:4" x14ac:dyDescent="0.3">
      <c r="B1008" s="26"/>
      <c r="C1008" s="26"/>
      <c r="D1008" s="26"/>
    </row>
    <row r="1009" spans="2:4" x14ac:dyDescent="0.3">
      <c r="B1009" s="26"/>
      <c r="C1009" s="26"/>
      <c r="D1009" s="26"/>
    </row>
    <row r="1010" spans="2:4" x14ac:dyDescent="0.3">
      <c r="B1010" s="26"/>
      <c r="C1010" s="26"/>
      <c r="D1010" s="26"/>
    </row>
    <row r="1011" spans="2:4" x14ac:dyDescent="0.3">
      <c r="B1011" s="26"/>
      <c r="C1011" s="26"/>
      <c r="D1011" s="26"/>
    </row>
    <row r="1012" spans="2:4" x14ac:dyDescent="0.3">
      <c r="B1012" s="26"/>
      <c r="C1012" s="26"/>
      <c r="D1012" s="26"/>
    </row>
    <row r="1013" spans="2:4" x14ac:dyDescent="0.3">
      <c r="B1013" s="26"/>
      <c r="C1013" s="26"/>
      <c r="D1013" s="26"/>
    </row>
    <row r="1014" spans="2:4" x14ac:dyDescent="0.3">
      <c r="B1014" s="26"/>
      <c r="C1014" s="26"/>
      <c r="D1014" s="26"/>
    </row>
    <row r="1015" spans="2:4" x14ac:dyDescent="0.3">
      <c r="B1015" s="26"/>
      <c r="C1015" s="26"/>
      <c r="D1015" s="26"/>
    </row>
    <row r="1016" spans="2:4" x14ac:dyDescent="0.3">
      <c r="B1016" s="26"/>
      <c r="C1016" s="26"/>
      <c r="D1016" s="26"/>
    </row>
    <row r="1017" spans="2:4" x14ac:dyDescent="0.3">
      <c r="B1017" s="26"/>
      <c r="C1017" s="26"/>
      <c r="D1017" s="26"/>
    </row>
    <row r="1018" spans="2:4" x14ac:dyDescent="0.3">
      <c r="B1018" s="26"/>
      <c r="C1018" s="26"/>
      <c r="D1018" s="26"/>
    </row>
    <row r="1019" spans="2:4" x14ac:dyDescent="0.3">
      <c r="B1019" s="26"/>
      <c r="C1019" s="26"/>
      <c r="D1019" s="26"/>
    </row>
    <row r="1020" spans="2:4" x14ac:dyDescent="0.3">
      <c r="B1020" s="26"/>
      <c r="C1020" s="26"/>
      <c r="D1020" s="26"/>
    </row>
    <row r="1021" spans="2:4" x14ac:dyDescent="0.3">
      <c r="B1021" s="26"/>
      <c r="C1021" s="26"/>
      <c r="D1021" s="26"/>
    </row>
    <row r="1022" spans="2:4" x14ac:dyDescent="0.3">
      <c r="B1022" s="26"/>
      <c r="C1022" s="26"/>
      <c r="D1022" s="26"/>
    </row>
    <row r="1023" spans="2:4" x14ac:dyDescent="0.3">
      <c r="B1023" s="26"/>
      <c r="C1023" s="26"/>
      <c r="D1023" s="26"/>
    </row>
    <row r="1024" spans="2:4" x14ac:dyDescent="0.3">
      <c r="B1024" s="26"/>
      <c r="C1024" s="26"/>
      <c r="D1024" s="26"/>
    </row>
    <row r="1025" spans="2:4" x14ac:dyDescent="0.3">
      <c r="B1025" s="26"/>
      <c r="C1025" s="26"/>
      <c r="D1025" s="26"/>
    </row>
    <row r="1026" spans="2:4" x14ac:dyDescent="0.3">
      <c r="B1026" s="26"/>
      <c r="C1026" s="26"/>
      <c r="D1026" s="26"/>
    </row>
    <row r="1027" spans="2:4" x14ac:dyDescent="0.3">
      <c r="B1027" s="26"/>
      <c r="C1027" s="26"/>
      <c r="D1027" s="26"/>
    </row>
    <row r="1028" spans="2:4" x14ac:dyDescent="0.3">
      <c r="B1028" s="26"/>
      <c r="C1028" s="26"/>
      <c r="D1028" s="26"/>
    </row>
    <row r="1029" spans="2:4" x14ac:dyDescent="0.3">
      <c r="B1029" s="26"/>
      <c r="C1029" s="26"/>
      <c r="D1029" s="26"/>
    </row>
    <row r="1030" spans="2:4" x14ac:dyDescent="0.3">
      <c r="B1030" s="26"/>
      <c r="C1030" s="26"/>
      <c r="D1030" s="26"/>
    </row>
    <row r="1031" spans="2:4" x14ac:dyDescent="0.3">
      <c r="B1031" s="26"/>
      <c r="C1031" s="26"/>
      <c r="D1031" s="26"/>
    </row>
    <row r="1032" spans="2:4" x14ac:dyDescent="0.3">
      <c r="B1032" s="26"/>
      <c r="C1032" s="26"/>
      <c r="D1032" s="26"/>
    </row>
    <row r="1033" spans="2:4" x14ac:dyDescent="0.3">
      <c r="B1033" s="26"/>
      <c r="C1033" s="26"/>
      <c r="D1033" s="26"/>
    </row>
    <row r="1034" spans="2:4" x14ac:dyDescent="0.3">
      <c r="B1034" s="26"/>
      <c r="C1034" s="26"/>
      <c r="D1034" s="26"/>
    </row>
    <row r="1035" spans="2:4" x14ac:dyDescent="0.3">
      <c r="B1035" s="26"/>
      <c r="C1035" s="26"/>
      <c r="D1035" s="26"/>
    </row>
    <row r="1036" spans="2:4" x14ac:dyDescent="0.3">
      <c r="B1036" s="26"/>
      <c r="C1036" s="26"/>
      <c r="D1036" s="26"/>
    </row>
    <row r="1037" spans="2:4" x14ac:dyDescent="0.3">
      <c r="B1037" s="26"/>
      <c r="C1037" s="26"/>
      <c r="D1037" s="26"/>
    </row>
    <row r="1038" spans="2:4" x14ac:dyDescent="0.3">
      <c r="B1038" s="26"/>
      <c r="C1038" s="26"/>
      <c r="D1038" s="26"/>
    </row>
    <row r="1039" spans="2:4" x14ac:dyDescent="0.3">
      <c r="B1039" s="26"/>
      <c r="C1039" s="26"/>
      <c r="D1039" s="26"/>
    </row>
    <row r="1040" spans="2:4" x14ac:dyDescent="0.3">
      <c r="B1040" s="26"/>
      <c r="C1040" s="26"/>
      <c r="D1040" s="26"/>
    </row>
    <row r="1041" spans="2:4" x14ac:dyDescent="0.3">
      <c r="B1041" s="26"/>
      <c r="C1041" s="26"/>
      <c r="D1041" s="26"/>
    </row>
    <row r="1042" spans="2:4" x14ac:dyDescent="0.3">
      <c r="B1042" s="26"/>
      <c r="C1042" s="26"/>
      <c r="D1042" s="26"/>
    </row>
    <row r="1043" spans="2:4" x14ac:dyDescent="0.3">
      <c r="B1043" s="26"/>
      <c r="C1043" s="26"/>
      <c r="D1043" s="26"/>
    </row>
    <row r="1044" spans="2:4" x14ac:dyDescent="0.3">
      <c r="B1044" s="26"/>
      <c r="C1044" s="26"/>
      <c r="D1044" s="26"/>
    </row>
    <row r="1045" spans="2:4" x14ac:dyDescent="0.3">
      <c r="B1045" s="26"/>
      <c r="C1045" s="26"/>
      <c r="D1045" s="26"/>
    </row>
    <row r="1046" spans="2:4" x14ac:dyDescent="0.3">
      <c r="B1046" s="26"/>
      <c r="C1046" s="26"/>
      <c r="D1046" s="26"/>
    </row>
    <row r="1047" spans="2:4" x14ac:dyDescent="0.3">
      <c r="B1047" s="26"/>
      <c r="C1047" s="26"/>
      <c r="D1047" s="26"/>
    </row>
    <row r="1048" spans="2:4" x14ac:dyDescent="0.3">
      <c r="B1048" s="26"/>
      <c r="C1048" s="26"/>
      <c r="D1048" s="26"/>
    </row>
    <row r="1049" spans="2:4" x14ac:dyDescent="0.3">
      <c r="B1049" s="26"/>
      <c r="C1049" s="26"/>
      <c r="D1049" s="26"/>
    </row>
    <row r="1050" spans="2:4" x14ac:dyDescent="0.3">
      <c r="B1050" s="26"/>
      <c r="C1050" s="26"/>
      <c r="D1050" s="26"/>
    </row>
    <row r="1051" spans="2:4" x14ac:dyDescent="0.3">
      <c r="B1051" s="26"/>
      <c r="C1051" s="26"/>
      <c r="D1051" s="26"/>
    </row>
    <row r="1052" spans="2:4" x14ac:dyDescent="0.3">
      <c r="B1052" s="26"/>
      <c r="C1052" s="26"/>
      <c r="D1052" s="26"/>
    </row>
    <row r="1053" spans="2:4" x14ac:dyDescent="0.3">
      <c r="B1053" s="26"/>
      <c r="C1053" s="26"/>
      <c r="D1053" s="26"/>
    </row>
    <row r="1054" spans="2:4" x14ac:dyDescent="0.3">
      <c r="B1054" s="26"/>
      <c r="C1054" s="26"/>
      <c r="D1054" s="26"/>
    </row>
    <row r="1055" spans="2:4" x14ac:dyDescent="0.3">
      <c r="B1055" s="26"/>
      <c r="C1055" s="26"/>
      <c r="D1055" s="26"/>
    </row>
    <row r="1056" spans="2:4" x14ac:dyDescent="0.3">
      <c r="B1056" s="26"/>
      <c r="C1056" s="26"/>
      <c r="D1056" s="26"/>
    </row>
    <row r="1057" spans="2:4" x14ac:dyDescent="0.3">
      <c r="B1057" s="26"/>
      <c r="C1057" s="26"/>
      <c r="D1057" s="26"/>
    </row>
    <row r="1058" spans="2:4" x14ac:dyDescent="0.3">
      <c r="B1058" s="26"/>
      <c r="C1058" s="26"/>
      <c r="D1058" s="26"/>
    </row>
    <row r="1059" spans="2:4" x14ac:dyDescent="0.3">
      <c r="B1059" s="26"/>
      <c r="C1059" s="26"/>
      <c r="D1059" s="26"/>
    </row>
    <row r="1060" spans="2:4" x14ac:dyDescent="0.3">
      <c r="B1060" s="26"/>
      <c r="C1060" s="26"/>
      <c r="D1060" s="26"/>
    </row>
    <row r="1061" spans="2:4" x14ac:dyDescent="0.3">
      <c r="B1061" s="26"/>
      <c r="C1061" s="26"/>
      <c r="D1061" s="26"/>
    </row>
    <row r="1062" spans="2:4" x14ac:dyDescent="0.3">
      <c r="B1062" s="26"/>
      <c r="C1062" s="26"/>
      <c r="D1062" s="26"/>
    </row>
    <row r="1063" spans="2:4" x14ac:dyDescent="0.3">
      <c r="B1063" s="26"/>
      <c r="C1063" s="26"/>
      <c r="D1063" s="26"/>
    </row>
    <row r="1064" spans="2:4" x14ac:dyDescent="0.3">
      <c r="B1064" s="26"/>
      <c r="C1064" s="26"/>
      <c r="D1064" s="26"/>
    </row>
    <row r="1065" spans="2:4" x14ac:dyDescent="0.3">
      <c r="B1065" s="26"/>
      <c r="C1065" s="26"/>
      <c r="D1065" s="26"/>
    </row>
    <row r="1066" spans="2:4" x14ac:dyDescent="0.3">
      <c r="B1066" s="26"/>
      <c r="C1066" s="26"/>
      <c r="D1066" s="26"/>
    </row>
    <row r="1067" spans="2:4" x14ac:dyDescent="0.3">
      <c r="B1067" s="26"/>
      <c r="C1067" s="26"/>
      <c r="D1067" s="26"/>
    </row>
    <row r="1068" spans="2:4" x14ac:dyDescent="0.3">
      <c r="B1068" s="26"/>
      <c r="C1068" s="26"/>
      <c r="D1068" s="26"/>
    </row>
    <row r="1069" spans="2:4" x14ac:dyDescent="0.3">
      <c r="B1069" s="26"/>
      <c r="C1069" s="26"/>
      <c r="D1069" s="26"/>
    </row>
    <row r="1070" spans="2:4" x14ac:dyDescent="0.3">
      <c r="B1070" s="26"/>
      <c r="C1070" s="26"/>
      <c r="D1070" s="26"/>
    </row>
    <row r="1071" spans="2:4" x14ac:dyDescent="0.3">
      <c r="B1071" s="26"/>
      <c r="C1071" s="26"/>
      <c r="D1071" s="26"/>
    </row>
    <row r="1072" spans="2:4" x14ac:dyDescent="0.3">
      <c r="B1072" s="26"/>
      <c r="C1072" s="26"/>
      <c r="D1072" s="26"/>
    </row>
    <row r="1073" spans="2:4" x14ac:dyDescent="0.3">
      <c r="B1073" s="26"/>
      <c r="C1073" s="26"/>
      <c r="D1073" s="26"/>
    </row>
    <row r="1074" spans="2:4" x14ac:dyDescent="0.3">
      <c r="B1074" s="26"/>
      <c r="C1074" s="26"/>
      <c r="D1074" s="26"/>
    </row>
    <row r="1075" spans="2:4" x14ac:dyDescent="0.3">
      <c r="B1075" s="26"/>
      <c r="C1075" s="26"/>
      <c r="D1075" s="26"/>
    </row>
    <row r="1076" spans="2:4" x14ac:dyDescent="0.3">
      <c r="B1076" s="26"/>
      <c r="C1076" s="26"/>
      <c r="D1076" s="26"/>
    </row>
    <row r="1077" spans="2:4" x14ac:dyDescent="0.3">
      <c r="B1077" s="26"/>
      <c r="C1077" s="26"/>
      <c r="D1077" s="26"/>
    </row>
    <row r="1078" spans="2:4" x14ac:dyDescent="0.3">
      <c r="B1078" s="26"/>
      <c r="C1078" s="26"/>
      <c r="D1078" s="26"/>
    </row>
    <row r="1079" spans="2:4" x14ac:dyDescent="0.3">
      <c r="B1079" s="26"/>
      <c r="C1079" s="26"/>
      <c r="D1079" s="26"/>
    </row>
    <row r="1080" spans="2:4" x14ac:dyDescent="0.3">
      <c r="B1080" s="26"/>
      <c r="C1080" s="26"/>
      <c r="D1080" s="26"/>
    </row>
    <row r="1081" spans="2:4" x14ac:dyDescent="0.3">
      <c r="B1081" s="26"/>
      <c r="C1081" s="26"/>
      <c r="D1081" s="26"/>
    </row>
    <row r="1082" spans="2:4" x14ac:dyDescent="0.3">
      <c r="B1082" s="26"/>
      <c r="C1082" s="26"/>
      <c r="D1082" s="26"/>
    </row>
    <row r="1083" spans="2:4" x14ac:dyDescent="0.3">
      <c r="B1083" s="26"/>
      <c r="C1083" s="26"/>
      <c r="D1083" s="26"/>
    </row>
    <row r="1084" spans="2:4" x14ac:dyDescent="0.3">
      <c r="B1084" s="26"/>
      <c r="C1084" s="26"/>
      <c r="D1084" s="26"/>
    </row>
    <row r="1085" spans="2:4" x14ac:dyDescent="0.3">
      <c r="B1085" s="26"/>
      <c r="C1085" s="26"/>
      <c r="D1085" s="26"/>
    </row>
    <row r="1086" spans="2:4" x14ac:dyDescent="0.3">
      <c r="B1086" s="26"/>
      <c r="C1086" s="26"/>
      <c r="D1086" s="26"/>
    </row>
    <row r="1087" spans="2:4" x14ac:dyDescent="0.3">
      <c r="B1087" s="26"/>
      <c r="C1087" s="26"/>
      <c r="D1087" s="26"/>
    </row>
    <row r="1088" spans="2:4" x14ac:dyDescent="0.3">
      <c r="B1088" s="26"/>
      <c r="C1088" s="26"/>
      <c r="D1088" s="26"/>
    </row>
    <row r="1089" spans="2:4" x14ac:dyDescent="0.3">
      <c r="B1089" s="26"/>
      <c r="C1089" s="26"/>
      <c r="D1089" s="26"/>
    </row>
    <row r="1090" spans="2:4" x14ac:dyDescent="0.3">
      <c r="B1090" s="26"/>
      <c r="C1090" s="26"/>
      <c r="D1090" s="26"/>
    </row>
    <row r="1091" spans="2:4" x14ac:dyDescent="0.3">
      <c r="B1091" s="26"/>
      <c r="C1091" s="26"/>
      <c r="D1091" s="26"/>
    </row>
    <row r="1092" spans="2:4" x14ac:dyDescent="0.3">
      <c r="B1092" s="26"/>
      <c r="C1092" s="26"/>
      <c r="D1092" s="26"/>
    </row>
    <row r="1093" spans="2:4" x14ac:dyDescent="0.3">
      <c r="B1093" s="26"/>
      <c r="C1093" s="26"/>
      <c r="D1093" s="26"/>
    </row>
    <row r="1094" spans="2:4" x14ac:dyDescent="0.3">
      <c r="B1094" s="26"/>
      <c r="C1094" s="26"/>
      <c r="D1094" s="26"/>
    </row>
    <row r="1095" spans="2:4" x14ac:dyDescent="0.3">
      <c r="B1095" s="26"/>
      <c r="C1095" s="26"/>
      <c r="D1095" s="26"/>
    </row>
    <row r="1096" spans="2:4" x14ac:dyDescent="0.3">
      <c r="B1096" s="26"/>
      <c r="C1096" s="26"/>
      <c r="D1096" s="26"/>
    </row>
    <row r="1097" spans="2:4" x14ac:dyDescent="0.3">
      <c r="B1097" s="26"/>
      <c r="C1097" s="26"/>
      <c r="D1097" s="26"/>
    </row>
    <row r="1098" spans="2:4" x14ac:dyDescent="0.3">
      <c r="B1098" s="26"/>
      <c r="C1098" s="26"/>
      <c r="D1098" s="26"/>
    </row>
    <row r="1099" spans="2:4" x14ac:dyDescent="0.3">
      <c r="B1099" s="26"/>
      <c r="C1099" s="26"/>
      <c r="D1099" s="26"/>
    </row>
    <row r="1100" spans="2:4" x14ac:dyDescent="0.3">
      <c r="B1100" s="26"/>
      <c r="C1100" s="26"/>
      <c r="D1100" s="26"/>
    </row>
    <row r="1101" spans="2:4" x14ac:dyDescent="0.3">
      <c r="B1101" s="26"/>
      <c r="C1101" s="26"/>
      <c r="D1101" s="26"/>
    </row>
    <row r="1102" spans="2:4" x14ac:dyDescent="0.3">
      <c r="B1102" s="26"/>
      <c r="C1102" s="26"/>
      <c r="D1102" s="26"/>
    </row>
    <row r="1103" spans="2:4" x14ac:dyDescent="0.3">
      <c r="B1103" s="26"/>
      <c r="C1103" s="26"/>
      <c r="D1103" s="26"/>
    </row>
    <row r="1104" spans="2:4" x14ac:dyDescent="0.3">
      <c r="B1104" s="26"/>
      <c r="C1104" s="26"/>
      <c r="D1104" s="26"/>
    </row>
    <row r="1105" spans="2:4" x14ac:dyDescent="0.3">
      <c r="B1105" s="26"/>
      <c r="C1105" s="26"/>
      <c r="D1105" s="26"/>
    </row>
    <row r="1106" spans="2:4" x14ac:dyDescent="0.3">
      <c r="B1106" s="26"/>
      <c r="C1106" s="26"/>
      <c r="D1106" s="26"/>
    </row>
    <row r="1107" spans="2:4" x14ac:dyDescent="0.3">
      <c r="B1107" s="26"/>
      <c r="C1107" s="26"/>
      <c r="D1107" s="26"/>
    </row>
    <row r="1108" spans="2:4" x14ac:dyDescent="0.3">
      <c r="B1108" s="26"/>
      <c r="C1108" s="26"/>
      <c r="D1108" s="26"/>
    </row>
    <row r="1109" spans="2:4" x14ac:dyDescent="0.3">
      <c r="B1109" s="26"/>
      <c r="C1109" s="26"/>
      <c r="D1109" s="26"/>
    </row>
    <row r="1110" spans="2:4" x14ac:dyDescent="0.3">
      <c r="B1110" s="26"/>
      <c r="C1110" s="26"/>
      <c r="D1110" s="26"/>
    </row>
    <row r="1111" spans="2:4" x14ac:dyDescent="0.3">
      <c r="B1111" s="26"/>
      <c r="C1111" s="26"/>
      <c r="D1111" s="26"/>
    </row>
    <row r="1112" spans="2:4" x14ac:dyDescent="0.3">
      <c r="B1112" s="26"/>
      <c r="C1112" s="26"/>
      <c r="D1112" s="26"/>
    </row>
    <row r="1113" spans="2:4" x14ac:dyDescent="0.3">
      <c r="B1113" s="26"/>
      <c r="C1113" s="26"/>
      <c r="D1113" s="26"/>
    </row>
    <row r="1114" spans="2:4" x14ac:dyDescent="0.3">
      <c r="B1114" s="26"/>
      <c r="C1114" s="26"/>
      <c r="D1114" s="26"/>
    </row>
    <row r="1115" spans="2:4" x14ac:dyDescent="0.3">
      <c r="B1115" s="26"/>
      <c r="C1115" s="26"/>
      <c r="D1115" s="26"/>
    </row>
    <row r="1116" spans="2:4" x14ac:dyDescent="0.3">
      <c r="B1116" s="26"/>
      <c r="C1116" s="26"/>
      <c r="D1116" s="26"/>
    </row>
    <row r="1117" spans="2:4" x14ac:dyDescent="0.3">
      <c r="B1117" s="26"/>
      <c r="C1117" s="26"/>
      <c r="D1117" s="26"/>
    </row>
    <row r="1118" spans="2:4" x14ac:dyDescent="0.3">
      <c r="B1118" s="26"/>
      <c r="C1118" s="26"/>
      <c r="D1118" s="26"/>
    </row>
    <row r="1119" spans="2:4" x14ac:dyDescent="0.3">
      <c r="B1119" s="26"/>
      <c r="C1119" s="26"/>
      <c r="D1119" s="26"/>
    </row>
    <row r="1120" spans="2:4" x14ac:dyDescent="0.3">
      <c r="B1120" s="26"/>
      <c r="C1120" s="26"/>
      <c r="D1120" s="26"/>
    </row>
    <row r="1121" spans="2:4" x14ac:dyDescent="0.3">
      <c r="B1121" s="26"/>
      <c r="C1121" s="26"/>
      <c r="D1121" s="26"/>
    </row>
    <row r="1122" spans="2:4" x14ac:dyDescent="0.3">
      <c r="B1122" s="26"/>
      <c r="C1122" s="26"/>
      <c r="D1122" s="26"/>
    </row>
    <row r="1123" spans="2:4" x14ac:dyDescent="0.3">
      <c r="B1123" s="26"/>
      <c r="C1123" s="26"/>
      <c r="D1123" s="26"/>
    </row>
    <row r="1124" spans="2:4" x14ac:dyDescent="0.3">
      <c r="B1124" s="26"/>
      <c r="C1124" s="26"/>
      <c r="D1124" s="26"/>
    </row>
    <row r="1125" spans="2:4" x14ac:dyDescent="0.3">
      <c r="B1125" s="26"/>
      <c r="C1125" s="26"/>
      <c r="D1125" s="26"/>
    </row>
    <row r="1126" spans="2:4" x14ac:dyDescent="0.3">
      <c r="B1126" s="26"/>
      <c r="C1126" s="26"/>
      <c r="D1126" s="26"/>
    </row>
    <row r="1127" spans="2:4" x14ac:dyDescent="0.3">
      <c r="B1127" s="26"/>
      <c r="C1127" s="26"/>
      <c r="D1127" s="26"/>
    </row>
    <row r="1128" spans="2:4" x14ac:dyDescent="0.3">
      <c r="B1128" s="26"/>
      <c r="C1128" s="26"/>
      <c r="D1128" s="26"/>
    </row>
    <row r="1129" spans="2:4" x14ac:dyDescent="0.3">
      <c r="B1129" s="26"/>
      <c r="C1129" s="26"/>
      <c r="D1129" s="26"/>
    </row>
    <row r="1130" spans="2:4" x14ac:dyDescent="0.3">
      <c r="B1130" s="26"/>
      <c r="C1130" s="26"/>
      <c r="D1130" s="26"/>
    </row>
    <row r="1131" spans="2:4" x14ac:dyDescent="0.3">
      <c r="B1131" s="26"/>
      <c r="C1131" s="26"/>
      <c r="D1131" s="26"/>
    </row>
    <row r="1132" spans="2:4" x14ac:dyDescent="0.3">
      <c r="B1132" s="26"/>
      <c r="C1132" s="26"/>
      <c r="D1132" s="26"/>
    </row>
    <row r="1133" spans="2:4" x14ac:dyDescent="0.3">
      <c r="B1133" s="26"/>
      <c r="C1133" s="26"/>
      <c r="D1133" s="26"/>
    </row>
    <row r="1134" spans="2:4" x14ac:dyDescent="0.3">
      <c r="B1134" s="26"/>
      <c r="C1134" s="26"/>
      <c r="D1134" s="26"/>
    </row>
    <row r="1135" spans="2:4" x14ac:dyDescent="0.3">
      <c r="B1135" s="26"/>
      <c r="C1135" s="26"/>
      <c r="D1135" s="26"/>
    </row>
    <row r="1136" spans="2:4" x14ac:dyDescent="0.3">
      <c r="B1136" s="26"/>
      <c r="C1136" s="26"/>
      <c r="D1136" s="26"/>
    </row>
    <row r="1137" spans="2:4" x14ac:dyDescent="0.3">
      <c r="B1137" s="26"/>
      <c r="C1137" s="26"/>
      <c r="D1137" s="26"/>
    </row>
    <row r="1138" spans="2:4" x14ac:dyDescent="0.3">
      <c r="B1138" s="26"/>
      <c r="C1138" s="26"/>
      <c r="D1138" s="26"/>
    </row>
    <row r="1139" spans="2:4" x14ac:dyDescent="0.3">
      <c r="B1139" s="26"/>
      <c r="C1139" s="26"/>
      <c r="D1139" s="26"/>
    </row>
    <row r="1140" spans="2:4" x14ac:dyDescent="0.3">
      <c r="B1140" s="26"/>
      <c r="C1140" s="26"/>
      <c r="D1140" s="26"/>
    </row>
    <row r="1141" spans="2:4" x14ac:dyDescent="0.3">
      <c r="B1141" s="26"/>
      <c r="C1141" s="26"/>
      <c r="D1141" s="26"/>
    </row>
    <row r="1142" spans="2:4" x14ac:dyDescent="0.3">
      <c r="B1142" s="26"/>
      <c r="C1142" s="26"/>
      <c r="D1142" s="26"/>
    </row>
    <row r="1143" spans="2:4" x14ac:dyDescent="0.3">
      <c r="B1143" s="26"/>
      <c r="C1143" s="26"/>
      <c r="D1143" s="26"/>
    </row>
    <row r="1144" spans="2:4" x14ac:dyDescent="0.3">
      <c r="B1144" s="26"/>
      <c r="C1144" s="26"/>
      <c r="D1144" s="26"/>
    </row>
    <row r="1145" spans="2:4" x14ac:dyDescent="0.3">
      <c r="B1145" s="26"/>
      <c r="C1145" s="26"/>
      <c r="D1145" s="26"/>
    </row>
    <row r="1146" spans="2:4" x14ac:dyDescent="0.3">
      <c r="B1146" s="26"/>
      <c r="C1146" s="26"/>
      <c r="D1146" s="26"/>
    </row>
    <row r="1147" spans="2:4" x14ac:dyDescent="0.3">
      <c r="B1147" s="26"/>
      <c r="C1147" s="26"/>
      <c r="D1147" s="26"/>
    </row>
    <row r="1148" spans="2:4" x14ac:dyDescent="0.3">
      <c r="B1148" s="26"/>
      <c r="C1148" s="26"/>
      <c r="D1148" s="26"/>
    </row>
    <row r="1149" spans="2:4" x14ac:dyDescent="0.3">
      <c r="B1149" s="26"/>
      <c r="C1149" s="26"/>
      <c r="D1149" s="26"/>
    </row>
    <row r="1150" spans="2:4" x14ac:dyDescent="0.3">
      <c r="B1150" s="26"/>
      <c r="C1150" s="26"/>
      <c r="D1150" s="26"/>
    </row>
    <row r="1151" spans="2:4" x14ac:dyDescent="0.3">
      <c r="B1151" s="26"/>
      <c r="C1151" s="26"/>
      <c r="D1151" s="26"/>
    </row>
    <row r="1152" spans="2:4" x14ac:dyDescent="0.3">
      <c r="B1152" s="26"/>
      <c r="C1152" s="26"/>
      <c r="D1152" s="26"/>
    </row>
    <row r="1153" spans="2:4" x14ac:dyDescent="0.3">
      <c r="B1153" s="26"/>
      <c r="C1153" s="26"/>
      <c r="D1153" s="26"/>
    </row>
    <row r="1154" spans="2:4" x14ac:dyDescent="0.3">
      <c r="B1154" s="26"/>
      <c r="C1154" s="26"/>
      <c r="D1154" s="26"/>
    </row>
    <row r="1155" spans="2:4" x14ac:dyDescent="0.3">
      <c r="B1155" s="26"/>
      <c r="C1155" s="26"/>
      <c r="D1155" s="26"/>
    </row>
    <row r="1156" spans="2:4" x14ac:dyDescent="0.3">
      <c r="B1156" s="26"/>
      <c r="C1156" s="26"/>
      <c r="D1156" s="26"/>
    </row>
    <row r="1157" spans="2:4" x14ac:dyDescent="0.3">
      <c r="B1157" s="26"/>
      <c r="C1157" s="26"/>
      <c r="D1157" s="26"/>
    </row>
    <row r="1158" spans="2:4" x14ac:dyDescent="0.3">
      <c r="B1158" s="26"/>
      <c r="C1158" s="26"/>
      <c r="D1158" s="26"/>
    </row>
    <row r="1159" spans="2:4" x14ac:dyDescent="0.3">
      <c r="B1159" s="26"/>
      <c r="C1159" s="26"/>
      <c r="D1159" s="26"/>
    </row>
    <row r="1160" spans="2:4" x14ac:dyDescent="0.3">
      <c r="B1160" s="26"/>
      <c r="C1160" s="26"/>
      <c r="D1160" s="26"/>
    </row>
    <row r="1161" spans="2:4" x14ac:dyDescent="0.3">
      <c r="B1161" s="26"/>
      <c r="C1161" s="26"/>
      <c r="D1161" s="26"/>
    </row>
    <row r="1162" spans="2:4" x14ac:dyDescent="0.3">
      <c r="B1162" s="26"/>
      <c r="C1162" s="26"/>
      <c r="D1162" s="26"/>
    </row>
    <row r="1163" spans="2:4" x14ac:dyDescent="0.3">
      <c r="B1163" s="26"/>
      <c r="C1163" s="26"/>
      <c r="D1163" s="26"/>
    </row>
    <row r="1164" spans="2:4" x14ac:dyDescent="0.3">
      <c r="B1164" s="26"/>
      <c r="C1164" s="26"/>
      <c r="D1164" s="26"/>
    </row>
    <row r="1165" spans="2:4" x14ac:dyDescent="0.3">
      <c r="B1165" s="26"/>
      <c r="C1165" s="26"/>
      <c r="D1165" s="26"/>
    </row>
    <row r="1166" spans="2:4" x14ac:dyDescent="0.3">
      <c r="B1166" s="26"/>
      <c r="C1166" s="26"/>
      <c r="D1166" s="26"/>
    </row>
    <row r="1167" spans="2:4" x14ac:dyDescent="0.3">
      <c r="B1167" s="26"/>
      <c r="C1167" s="26"/>
      <c r="D1167" s="26"/>
    </row>
    <row r="1168" spans="2:4" x14ac:dyDescent="0.3">
      <c r="B1168" s="26"/>
      <c r="C1168" s="26"/>
      <c r="D1168" s="26"/>
    </row>
    <row r="1169" spans="2:4" x14ac:dyDescent="0.3">
      <c r="B1169" s="26"/>
      <c r="C1169" s="26"/>
      <c r="D1169" s="26"/>
    </row>
    <row r="1170" spans="2:4" x14ac:dyDescent="0.3">
      <c r="B1170" s="26"/>
      <c r="C1170" s="26"/>
      <c r="D1170" s="26"/>
    </row>
    <row r="1171" spans="2:4" x14ac:dyDescent="0.3">
      <c r="B1171" s="26"/>
      <c r="C1171" s="26"/>
      <c r="D1171" s="26"/>
    </row>
    <row r="1172" spans="2:4" x14ac:dyDescent="0.3">
      <c r="B1172" s="26"/>
      <c r="C1172" s="26"/>
      <c r="D1172" s="26"/>
    </row>
    <row r="1173" spans="2:4" x14ac:dyDescent="0.3">
      <c r="B1173" s="26"/>
      <c r="C1173" s="26"/>
      <c r="D1173" s="26"/>
    </row>
    <row r="1174" spans="2:4" x14ac:dyDescent="0.3">
      <c r="B1174" s="26"/>
      <c r="C1174" s="26"/>
      <c r="D1174" s="26"/>
    </row>
    <row r="1175" spans="2:4" x14ac:dyDescent="0.3">
      <c r="B1175" s="26"/>
      <c r="C1175" s="26"/>
      <c r="D1175" s="26"/>
    </row>
    <row r="1176" spans="2:4" x14ac:dyDescent="0.3">
      <c r="B1176" s="26"/>
      <c r="C1176" s="26"/>
      <c r="D1176" s="26"/>
    </row>
    <row r="1177" spans="2:4" x14ac:dyDescent="0.3">
      <c r="B1177" s="26"/>
      <c r="C1177" s="26"/>
      <c r="D1177" s="26"/>
    </row>
    <row r="1178" spans="2:4" x14ac:dyDescent="0.3">
      <c r="B1178" s="26"/>
      <c r="C1178" s="26"/>
      <c r="D1178" s="26"/>
    </row>
    <row r="1179" spans="2:4" x14ac:dyDescent="0.3">
      <c r="B1179" s="26"/>
      <c r="C1179" s="26"/>
      <c r="D1179" s="26"/>
    </row>
    <row r="1180" spans="2:4" x14ac:dyDescent="0.3">
      <c r="B1180" s="26"/>
      <c r="C1180" s="26"/>
      <c r="D1180" s="26"/>
    </row>
    <row r="1181" spans="2:4" x14ac:dyDescent="0.3">
      <c r="B1181" s="26"/>
      <c r="C1181" s="26"/>
      <c r="D1181" s="26"/>
    </row>
    <row r="1182" spans="2:4" x14ac:dyDescent="0.3">
      <c r="B1182" s="26"/>
      <c r="C1182" s="26"/>
      <c r="D1182" s="26"/>
    </row>
    <row r="1183" spans="2:4" x14ac:dyDescent="0.3">
      <c r="B1183" s="26"/>
      <c r="C1183" s="26"/>
      <c r="D1183" s="26"/>
    </row>
    <row r="1184" spans="2:4" x14ac:dyDescent="0.3">
      <c r="B1184" s="26"/>
      <c r="C1184" s="26"/>
      <c r="D1184" s="26"/>
    </row>
    <row r="1185" spans="2:4" x14ac:dyDescent="0.3">
      <c r="B1185" s="26"/>
      <c r="C1185" s="26"/>
      <c r="D1185" s="26"/>
    </row>
    <row r="1186" spans="2:4" x14ac:dyDescent="0.3">
      <c r="B1186" s="26"/>
      <c r="C1186" s="26"/>
      <c r="D1186" s="26"/>
    </row>
    <row r="1187" spans="2:4" x14ac:dyDescent="0.3">
      <c r="B1187" s="26"/>
      <c r="C1187" s="26"/>
      <c r="D1187" s="26"/>
    </row>
    <row r="1188" spans="2:4" x14ac:dyDescent="0.3">
      <c r="B1188" s="26"/>
      <c r="C1188" s="26"/>
      <c r="D1188" s="26"/>
    </row>
    <row r="1189" spans="2:4" x14ac:dyDescent="0.3">
      <c r="B1189" s="26"/>
      <c r="C1189" s="26"/>
      <c r="D1189" s="26"/>
    </row>
    <row r="1190" spans="2:4" x14ac:dyDescent="0.3">
      <c r="B1190" s="26"/>
      <c r="C1190" s="26"/>
      <c r="D1190" s="26"/>
    </row>
    <row r="1191" spans="2:4" x14ac:dyDescent="0.3">
      <c r="B1191" s="26"/>
      <c r="C1191" s="26"/>
      <c r="D1191" s="26"/>
    </row>
    <row r="1192" spans="2:4" x14ac:dyDescent="0.3">
      <c r="B1192" s="26"/>
      <c r="C1192" s="26"/>
      <c r="D1192" s="26"/>
    </row>
    <row r="1193" spans="2:4" x14ac:dyDescent="0.3">
      <c r="B1193" s="26"/>
      <c r="C1193" s="26"/>
      <c r="D1193" s="26"/>
    </row>
    <row r="1194" spans="2:4" x14ac:dyDescent="0.3">
      <c r="B1194" s="26"/>
      <c r="C1194" s="26"/>
      <c r="D1194" s="26"/>
    </row>
    <row r="1195" spans="2:4" x14ac:dyDescent="0.3">
      <c r="B1195" s="26"/>
      <c r="C1195" s="26"/>
      <c r="D1195" s="26"/>
    </row>
    <row r="1196" spans="2:4" x14ac:dyDescent="0.3">
      <c r="B1196" s="26"/>
      <c r="C1196" s="26"/>
      <c r="D1196" s="26"/>
    </row>
    <row r="1197" spans="2:4" x14ac:dyDescent="0.3">
      <c r="B1197" s="26"/>
      <c r="C1197" s="26"/>
      <c r="D1197" s="26"/>
    </row>
    <row r="1198" spans="2:4" x14ac:dyDescent="0.3">
      <c r="B1198" s="26"/>
      <c r="C1198" s="26"/>
      <c r="D1198" s="26"/>
    </row>
    <row r="1199" spans="2:4" x14ac:dyDescent="0.3">
      <c r="B1199" s="26"/>
      <c r="C1199" s="26"/>
      <c r="D1199" s="26"/>
    </row>
    <row r="1200" spans="2:4" x14ac:dyDescent="0.3">
      <c r="B1200" s="26"/>
      <c r="C1200" s="26"/>
      <c r="D1200" s="26"/>
    </row>
    <row r="1201" spans="2:4" x14ac:dyDescent="0.3">
      <c r="B1201" s="26"/>
      <c r="C1201" s="26"/>
      <c r="D1201" s="26"/>
    </row>
    <row r="1202" spans="2:4" x14ac:dyDescent="0.3">
      <c r="B1202" s="26"/>
      <c r="C1202" s="26"/>
      <c r="D1202" s="26"/>
    </row>
    <row r="1203" spans="2:4" x14ac:dyDescent="0.3">
      <c r="B1203" s="26"/>
      <c r="C1203" s="26"/>
      <c r="D1203" s="26"/>
    </row>
    <row r="1204" spans="2:4" x14ac:dyDescent="0.3">
      <c r="B1204" s="26"/>
      <c r="C1204" s="26"/>
      <c r="D1204" s="26"/>
    </row>
    <row r="1205" spans="2:4" x14ac:dyDescent="0.3">
      <c r="B1205" s="26"/>
      <c r="C1205" s="26"/>
      <c r="D1205" s="26"/>
    </row>
    <row r="1206" spans="2:4" x14ac:dyDescent="0.3">
      <c r="B1206" s="26"/>
      <c r="C1206" s="26"/>
      <c r="D1206" s="26"/>
    </row>
    <row r="1207" spans="2:4" x14ac:dyDescent="0.3">
      <c r="B1207" s="26"/>
      <c r="C1207" s="26"/>
      <c r="D1207" s="26"/>
    </row>
    <row r="1208" spans="2:4" x14ac:dyDescent="0.3">
      <c r="B1208" s="26"/>
      <c r="C1208" s="26"/>
      <c r="D1208" s="26"/>
    </row>
    <row r="1209" spans="2:4" x14ac:dyDescent="0.3">
      <c r="B1209" s="26"/>
      <c r="C1209" s="26"/>
      <c r="D1209" s="26"/>
    </row>
    <row r="1210" spans="2:4" x14ac:dyDescent="0.3">
      <c r="B1210" s="26"/>
      <c r="C1210" s="26"/>
      <c r="D1210" s="26"/>
    </row>
    <row r="1211" spans="2:4" x14ac:dyDescent="0.3">
      <c r="B1211" s="26"/>
      <c r="C1211" s="26"/>
      <c r="D1211" s="26"/>
    </row>
    <row r="1212" spans="2:4" x14ac:dyDescent="0.3">
      <c r="B1212" s="26"/>
      <c r="C1212" s="26"/>
      <c r="D1212" s="26"/>
    </row>
    <row r="1213" spans="2:4" x14ac:dyDescent="0.3">
      <c r="B1213" s="26"/>
      <c r="C1213" s="26"/>
      <c r="D1213" s="26"/>
    </row>
    <row r="1214" spans="2:4" x14ac:dyDescent="0.3">
      <c r="B1214" s="26"/>
      <c r="C1214" s="26"/>
      <c r="D1214" s="26"/>
    </row>
    <row r="1215" spans="2:4" x14ac:dyDescent="0.3">
      <c r="B1215" s="26"/>
      <c r="C1215" s="26"/>
      <c r="D1215" s="26"/>
    </row>
    <row r="1216" spans="2:4" x14ac:dyDescent="0.3">
      <c r="B1216" s="26"/>
      <c r="C1216" s="26"/>
      <c r="D1216" s="26"/>
    </row>
    <row r="1217" spans="2:4" x14ac:dyDescent="0.3">
      <c r="B1217" s="26"/>
      <c r="C1217" s="26"/>
      <c r="D1217" s="26"/>
    </row>
    <row r="1218" spans="2:4" x14ac:dyDescent="0.3">
      <c r="B1218" s="26"/>
      <c r="C1218" s="26"/>
      <c r="D1218" s="26"/>
    </row>
    <row r="1219" spans="2:4" x14ac:dyDescent="0.3">
      <c r="B1219" s="26"/>
      <c r="C1219" s="26"/>
      <c r="D1219" s="26"/>
    </row>
    <row r="1220" spans="2:4" x14ac:dyDescent="0.3">
      <c r="B1220" s="26"/>
      <c r="C1220" s="26"/>
      <c r="D1220" s="26"/>
    </row>
    <row r="1221" spans="2:4" x14ac:dyDescent="0.3">
      <c r="B1221" s="26"/>
      <c r="C1221" s="26"/>
      <c r="D1221" s="26"/>
    </row>
    <row r="1222" spans="2:4" x14ac:dyDescent="0.3">
      <c r="B1222" s="26"/>
      <c r="C1222" s="26"/>
      <c r="D1222" s="26"/>
    </row>
    <row r="1223" spans="2:4" x14ac:dyDescent="0.3">
      <c r="B1223" s="26"/>
      <c r="C1223" s="26"/>
      <c r="D1223" s="26"/>
    </row>
    <row r="1224" spans="2:4" x14ac:dyDescent="0.3">
      <c r="B1224" s="26"/>
      <c r="C1224" s="26"/>
      <c r="D1224" s="26"/>
    </row>
    <row r="1225" spans="2:4" x14ac:dyDescent="0.3">
      <c r="B1225" s="26"/>
      <c r="C1225" s="26"/>
      <c r="D1225" s="26"/>
    </row>
    <row r="1226" spans="2:4" x14ac:dyDescent="0.3">
      <c r="B1226" s="26"/>
      <c r="C1226" s="26"/>
      <c r="D1226" s="26"/>
    </row>
    <row r="1227" spans="2:4" x14ac:dyDescent="0.3">
      <c r="B1227" s="26"/>
      <c r="C1227" s="26"/>
      <c r="D1227" s="26"/>
    </row>
    <row r="1228" spans="2:4" x14ac:dyDescent="0.3">
      <c r="B1228" s="26"/>
      <c r="C1228" s="26"/>
      <c r="D1228" s="26"/>
    </row>
    <row r="1229" spans="2:4" x14ac:dyDescent="0.3">
      <c r="B1229" s="26"/>
      <c r="C1229" s="26"/>
      <c r="D1229" s="26"/>
    </row>
    <row r="1230" spans="2:4" x14ac:dyDescent="0.3">
      <c r="B1230" s="26"/>
      <c r="C1230" s="26"/>
      <c r="D1230" s="26"/>
    </row>
    <row r="1231" spans="2:4" x14ac:dyDescent="0.3">
      <c r="B1231" s="26"/>
      <c r="C1231" s="26"/>
      <c r="D1231" s="26"/>
    </row>
    <row r="1232" spans="2:4" x14ac:dyDescent="0.3">
      <c r="B1232" s="26"/>
      <c r="C1232" s="26"/>
      <c r="D1232" s="26"/>
    </row>
    <row r="1233" spans="2:4" x14ac:dyDescent="0.3">
      <c r="B1233" s="26"/>
      <c r="C1233" s="26"/>
      <c r="D1233" s="26"/>
    </row>
    <row r="1234" spans="2:4" x14ac:dyDescent="0.3">
      <c r="B1234" s="26"/>
      <c r="C1234" s="26"/>
      <c r="D1234" s="26"/>
    </row>
    <row r="1235" spans="2:4" x14ac:dyDescent="0.3">
      <c r="B1235" s="26"/>
      <c r="C1235" s="26"/>
      <c r="D1235" s="26"/>
    </row>
    <row r="1236" spans="2:4" x14ac:dyDescent="0.3">
      <c r="B1236" s="26"/>
      <c r="C1236" s="26"/>
      <c r="D1236" s="26"/>
    </row>
    <row r="1237" spans="2:4" x14ac:dyDescent="0.3">
      <c r="B1237" s="26"/>
      <c r="C1237" s="26"/>
      <c r="D1237" s="26"/>
    </row>
    <row r="1238" spans="2:4" x14ac:dyDescent="0.3">
      <c r="B1238" s="26"/>
      <c r="C1238" s="26"/>
      <c r="D1238" s="26"/>
    </row>
    <row r="1239" spans="2:4" x14ac:dyDescent="0.3">
      <c r="B1239" s="26"/>
      <c r="C1239" s="26"/>
      <c r="D1239" s="26"/>
    </row>
    <row r="1240" spans="2:4" x14ac:dyDescent="0.3">
      <c r="B1240" s="26"/>
      <c r="C1240" s="26"/>
      <c r="D1240" s="26"/>
    </row>
    <row r="1241" spans="2:4" x14ac:dyDescent="0.3">
      <c r="B1241" s="26"/>
      <c r="C1241" s="26"/>
      <c r="D1241" s="26"/>
    </row>
    <row r="1242" spans="2:4" x14ac:dyDescent="0.3">
      <c r="B1242" s="26"/>
      <c r="C1242" s="26"/>
      <c r="D1242" s="26"/>
    </row>
    <row r="1243" spans="2:4" x14ac:dyDescent="0.3">
      <c r="B1243" s="26"/>
      <c r="C1243" s="26"/>
      <c r="D1243" s="26"/>
    </row>
    <row r="1244" spans="2:4" x14ac:dyDescent="0.3">
      <c r="B1244" s="26"/>
      <c r="C1244" s="26"/>
      <c r="D1244" s="26"/>
    </row>
    <row r="1245" spans="2:4" x14ac:dyDescent="0.3">
      <c r="B1245" s="26"/>
      <c r="C1245" s="26"/>
      <c r="D1245" s="26"/>
    </row>
    <row r="1246" spans="2:4" x14ac:dyDescent="0.3">
      <c r="B1246" s="26"/>
      <c r="C1246" s="26"/>
      <c r="D1246" s="26"/>
    </row>
    <row r="1247" spans="2:4" x14ac:dyDescent="0.3">
      <c r="B1247" s="26"/>
      <c r="C1247" s="26"/>
      <c r="D1247" s="26"/>
    </row>
    <row r="1248" spans="2:4" x14ac:dyDescent="0.3">
      <c r="B1248" s="26"/>
      <c r="C1248" s="26"/>
      <c r="D1248" s="26"/>
    </row>
    <row r="1249" spans="2:4" x14ac:dyDescent="0.3">
      <c r="B1249" s="26"/>
      <c r="C1249" s="26"/>
      <c r="D1249" s="26"/>
    </row>
    <row r="1250" spans="2:4" x14ac:dyDescent="0.3">
      <c r="B1250" s="26"/>
      <c r="C1250" s="26"/>
      <c r="D1250" s="26"/>
    </row>
    <row r="1251" spans="2:4" x14ac:dyDescent="0.3">
      <c r="B1251" s="26"/>
      <c r="C1251" s="26"/>
      <c r="D1251" s="26"/>
    </row>
    <row r="1252" spans="2:4" x14ac:dyDescent="0.3">
      <c r="B1252" s="26"/>
      <c r="C1252" s="26"/>
      <c r="D1252" s="26"/>
    </row>
    <row r="1253" spans="2:4" x14ac:dyDescent="0.3">
      <c r="B1253" s="26"/>
      <c r="C1253" s="26"/>
      <c r="D1253" s="26"/>
    </row>
    <row r="1254" spans="2:4" x14ac:dyDescent="0.3">
      <c r="B1254" s="26"/>
      <c r="C1254" s="26"/>
      <c r="D1254" s="26"/>
    </row>
    <row r="1255" spans="2:4" x14ac:dyDescent="0.3">
      <c r="B1255" s="26"/>
      <c r="C1255" s="26"/>
      <c r="D1255" s="26"/>
    </row>
    <row r="1256" spans="2:4" x14ac:dyDescent="0.3">
      <c r="B1256" s="26"/>
      <c r="C1256" s="26"/>
      <c r="D1256" s="26"/>
    </row>
    <row r="1257" spans="2:4" x14ac:dyDescent="0.3">
      <c r="B1257" s="26"/>
      <c r="C1257" s="26"/>
      <c r="D1257" s="26"/>
    </row>
    <row r="1258" spans="2:4" x14ac:dyDescent="0.3">
      <c r="B1258" s="26"/>
      <c r="C1258" s="26"/>
      <c r="D1258" s="26"/>
    </row>
    <row r="1259" spans="2:4" x14ac:dyDescent="0.3">
      <c r="B1259" s="26"/>
      <c r="C1259" s="26"/>
      <c r="D1259" s="26"/>
    </row>
    <row r="1260" spans="2:4" x14ac:dyDescent="0.3">
      <c r="B1260" s="26"/>
      <c r="C1260" s="26"/>
      <c r="D1260" s="26"/>
    </row>
    <row r="1261" spans="2:4" x14ac:dyDescent="0.3">
      <c r="B1261" s="26"/>
      <c r="C1261" s="26"/>
      <c r="D1261" s="26"/>
    </row>
    <row r="1262" spans="2:4" x14ac:dyDescent="0.3">
      <c r="B1262" s="26"/>
      <c r="C1262" s="26"/>
      <c r="D1262" s="26"/>
    </row>
    <row r="1263" spans="2:4" x14ac:dyDescent="0.3">
      <c r="B1263" s="26"/>
      <c r="C1263" s="26"/>
      <c r="D1263" s="26"/>
    </row>
    <row r="1264" spans="2:4" x14ac:dyDescent="0.3">
      <c r="B1264" s="26"/>
      <c r="C1264" s="26"/>
      <c r="D1264" s="26"/>
    </row>
    <row r="1265" spans="2:4" x14ac:dyDescent="0.3">
      <c r="B1265" s="26"/>
      <c r="C1265" s="26"/>
      <c r="D1265" s="26"/>
    </row>
    <row r="1266" spans="2:4" x14ac:dyDescent="0.3">
      <c r="B1266" s="26"/>
      <c r="C1266" s="26"/>
      <c r="D1266" s="26"/>
    </row>
    <row r="1267" spans="2:4" x14ac:dyDescent="0.3">
      <c r="B1267" s="26"/>
      <c r="C1267" s="26"/>
      <c r="D1267" s="26"/>
    </row>
    <row r="1268" spans="2:4" x14ac:dyDescent="0.3">
      <c r="B1268" s="26"/>
      <c r="C1268" s="26"/>
      <c r="D1268" s="26"/>
    </row>
    <row r="1269" spans="2:4" x14ac:dyDescent="0.3">
      <c r="B1269" s="26"/>
      <c r="C1269" s="26"/>
      <c r="D1269" s="26"/>
    </row>
    <row r="1270" spans="2:4" x14ac:dyDescent="0.3">
      <c r="B1270" s="26"/>
      <c r="C1270" s="26"/>
      <c r="D1270" s="26"/>
    </row>
    <row r="1271" spans="2:4" x14ac:dyDescent="0.3">
      <c r="B1271" s="26"/>
      <c r="C1271" s="26"/>
      <c r="D1271" s="26"/>
    </row>
    <row r="1272" spans="2:4" x14ac:dyDescent="0.3">
      <c r="B1272" s="26"/>
      <c r="C1272" s="26"/>
      <c r="D1272" s="26"/>
    </row>
    <row r="1273" spans="2:4" x14ac:dyDescent="0.3">
      <c r="B1273" s="26"/>
      <c r="C1273" s="26"/>
      <c r="D1273" s="26"/>
    </row>
    <row r="1274" spans="2:4" x14ac:dyDescent="0.3">
      <c r="B1274" s="26"/>
      <c r="C1274" s="26"/>
      <c r="D1274" s="26"/>
    </row>
    <row r="1275" spans="2:4" x14ac:dyDescent="0.3">
      <c r="B1275" s="26"/>
      <c r="C1275" s="26"/>
      <c r="D1275" s="26"/>
    </row>
    <row r="1276" spans="2:4" x14ac:dyDescent="0.3">
      <c r="B1276" s="26"/>
      <c r="C1276" s="26"/>
      <c r="D1276" s="26"/>
    </row>
    <row r="1277" spans="2:4" x14ac:dyDescent="0.3">
      <c r="B1277" s="26"/>
      <c r="C1277" s="26"/>
      <c r="D1277" s="26"/>
    </row>
    <row r="1278" spans="2:4" x14ac:dyDescent="0.3">
      <c r="B1278" s="26"/>
      <c r="C1278" s="26"/>
      <c r="D1278" s="26"/>
    </row>
    <row r="1279" spans="2:4" x14ac:dyDescent="0.3">
      <c r="B1279" s="26"/>
      <c r="C1279" s="26"/>
      <c r="D1279" s="26"/>
    </row>
    <row r="1280" spans="2:4" x14ac:dyDescent="0.3">
      <c r="B1280" s="26"/>
      <c r="C1280" s="26"/>
      <c r="D1280" s="26"/>
    </row>
    <row r="1281" spans="2:4" x14ac:dyDescent="0.3">
      <c r="B1281" s="26"/>
      <c r="C1281" s="26"/>
      <c r="D1281" s="26"/>
    </row>
    <row r="1282" spans="2:4" x14ac:dyDescent="0.3">
      <c r="B1282" s="26"/>
      <c r="C1282" s="26"/>
      <c r="D1282" s="26"/>
    </row>
    <row r="1283" spans="2:4" x14ac:dyDescent="0.3">
      <c r="B1283" s="26"/>
      <c r="C1283" s="26"/>
      <c r="D1283" s="26"/>
    </row>
    <row r="1284" spans="2:4" x14ac:dyDescent="0.3">
      <c r="B1284" s="26"/>
      <c r="C1284" s="26"/>
      <c r="D1284" s="26"/>
    </row>
    <row r="1285" spans="2:4" x14ac:dyDescent="0.3">
      <c r="B1285" s="26"/>
      <c r="C1285" s="26"/>
      <c r="D1285" s="26"/>
    </row>
    <row r="1286" spans="2:4" x14ac:dyDescent="0.3">
      <c r="B1286" s="26"/>
      <c r="C1286" s="26"/>
      <c r="D1286" s="26"/>
    </row>
    <row r="1287" spans="2:4" x14ac:dyDescent="0.3">
      <c r="B1287" s="26"/>
      <c r="C1287" s="26"/>
      <c r="D1287" s="26"/>
    </row>
    <row r="1288" spans="2:4" x14ac:dyDescent="0.3">
      <c r="B1288" s="26"/>
      <c r="C1288" s="26"/>
      <c r="D1288" s="26"/>
    </row>
    <row r="1289" spans="2:4" x14ac:dyDescent="0.3">
      <c r="B1289" s="26"/>
      <c r="C1289" s="26"/>
      <c r="D1289" s="26"/>
    </row>
    <row r="1290" spans="2:4" x14ac:dyDescent="0.3">
      <c r="B1290" s="26"/>
      <c r="C1290" s="26"/>
      <c r="D1290" s="26"/>
    </row>
    <row r="1291" spans="2:4" x14ac:dyDescent="0.3">
      <c r="B1291" s="26"/>
      <c r="C1291" s="26"/>
      <c r="D1291" s="26"/>
    </row>
    <row r="1292" spans="2:4" x14ac:dyDescent="0.3">
      <c r="B1292" s="26"/>
      <c r="C1292" s="26"/>
      <c r="D1292" s="26"/>
    </row>
    <row r="1293" spans="2:4" x14ac:dyDescent="0.3">
      <c r="B1293" s="26"/>
      <c r="C1293" s="26"/>
      <c r="D1293" s="26"/>
    </row>
    <row r="1294" spans="2:4" x14ac:dyDescent="0.3">
      <c r="B1294" s="26"/>
      <c r="C1294" s="26"/>
      <c r="D1294" s="26"/>
    </row>
    <row r="1295" spans="2:4" x14ac:dyDescent="0.3">
      <c r="B1295" s="26"/>
      <c r="C1295" s="26"/>
      <c r="D1295" s="26"/>
    </row>
    <row r="1296" spans="2:4" x14ac:dyDescent="0.3">
      <c r="B1296" s="26"/>
      <c r="C1296" s="26"/>
      <c r="D1296" s="26"/>
    </row>
    <row r="1297" spans="2:4" x14ac:dyDescent="0.3">
      <c r="B1297" s="26"/>
      <c r="C1297" s="26"/>
      <c r="D1297" s="26"/>
    </row>
    <row r="1298" spans="2:4" x14ac:dyDescent="0.3">
      <c r="B1298" s="26"/>
      <c r="C1298" s="26"/>
      <c r="D1298" s="26"/>
    </row>
    <row r="1299" spans="2:4" x14ac:dyDescent="0.3">
      <c r="B1299" s="26"/>
      <c r="C1299" s="26"/>
      <c r="D1299" s="26"/>
    </row>
    <row r="1300" spans="2:4" x14ac:dyDescent="0.3">
      <c r="B1300" s="26"/>
      <c r="C1300" s="26"/>
      <c r="D1300" s="26"/>
    </row>
    <row r="1301" spans="2:4" x14ac:dyDescent="0.3">
      <c r="B1301" s="26"/>
      <c r="C1301" s="26"/>
      <c r="D1301" s="26"/>
    </row>
    <row r="1302" spans="2:4" x14ac:dyDescent="0.3">
      <c r="B1302" s="26"/>
      <c r="C1302" s="26"/>
      <c r="D1302" s="26"/>
    </row>
    <row r="1303" spans="2:4" x14ac:dyDescent="0.3">
      <c r="B1303" s="26"/>
      <c r="C1303" s="26"/>
      <c r="D1303" s="26"/>
    </row>
    <row r="1304" spans="2:4" x14ac:dyDescent="0.3">
      <c r="B1304" s="26"/>
      <c r="C1304" s="26"/>
      <c r="D1304" s="26"/>
    </row>
    <row r="1305" spans="2:4" x14ac:dyDescent="0.3">
      <c r="B1305" s="26"/>
      <c r="C1305" s="26"/>
      <c r="D1305" s="26"/>
    </row>
    <row r="1306" spans="2:4" x14ac:dyDescent="0.3">
      <c r="B1306" s="26"/>
      <c r="C1306" s="26"/>
      <c r="D1306" s="26"/>
    </row>
    <row r="1307" spans="2:4" x14ac:dyDescent="0.3">
      <c r="B1307" s="26"/>
      <c r="C1307" s="26"/>
      <c r="D1307" s="26"/>
    </row>
    <row r="1308" spans="2:4" x14ac:dyDescent="0.3">
      <c r="B1308" s="26"/>
      <c r="C1308" s="26"/>
      <c r="D1308" s="26"/>
    </row>
    <row r="1309" spans="2:4" x14ac:dyDescent="0.3">
      <c r="B1309" s="26"/>
      <c r="C1309" s="26"/>
      <c r="D1309" s="26"/>
    </row>
    <row r="1310" spans="2:4" x14ac:dyDescent="0.3">
      <c r="B1310" s="26"/>
      <c r="C1310" s="26"/>
      <c r="D1310" s="26"/>
    </row>
    <row r="1311" spans="2:4" x14ac:dyDescent="0.3">
      <c r="B1311" s="26"/>
      <c r="C1311" s="26"/>
      <c r="D1311" s="26"/>
    </row>
    <row r="1312" spans="2:4" x14ac:dyDescent="0.3">
      <c r="B1312" s="26"/>
      <c r="C1312" s="26"/>
      <c r="D1312" s="26"/>
    </row>
    <row r="1313" spans="2:4" x14ac:dyDescent="0.3">
      <c r="B1313" s="26"/>
      <c r="C1313" s="26"/>
      <c r="D1313" s="26"/>
    </row>
    <row r="1314" spans="2:4" x14ac:dyDescent="0.3">
      <c r="B1314" s="26"/>
      <c r="C1314" s="26"/>
      <c r="D1314" s="26"/>
    </row>
    <row r="1315" spans="2:4" x14ac:dyDescent="0.3">
      <c r="B1315" s="26"/>
      <c r="C1315" s="26"/>
      <c r="D1315" s="26"/>
    </row>
    <row r="1316" spans="2:4" x14ac:dyDescent="0.3">
      <c r="B1316" s="26"/>
      <c r="C1316" s="26"/>
      <c r="D1316" s="26"/>
    </row>
    <row r="1317" spans="2:4" x14ac:dyDescent="0.3">
      <c r="B1317" s="26"/>
      <c r="C1317" s="26"/>
      <c r="D1317" s="26"/>
    </row>
    <row r="1318" spans="2:4" x14ac:dyDescent="0.3">
      <c r="B1318" s="26"/>
      <c r="C1318" s="26"/>
      <c r="D1318" s="26"/>
    </row>
    <row r="1319" spans="2:4" x14ac:dyDescent="0.3">
      <c r="B1319" s="26"/>
      <c r="C1319" s="26"/>
      <c r="D1319" s="26"/>
    </row>
    <row r="1320" spans="2:4" x14ac:dyDescent="0.3">
      <c r="B1320" s="26"/>
      <c r="C1320" s="26"/>
      <c r="D1320" s="26"/>
    </row>
    <row r="1321" spans="2:4" x14ac:dyDescent="0.3">
      <c r="B1321" s="26"/>
      <c r="C1321" s="26"/>
      <c r="D1321" s="26"/>
    </row>
    <row r="1322" spans="2:4" x14ac:dyDescent="0.3">
      <c r="B1322" s="26"/>
      <c r="C1322" s="26"/>
      <c r="D1322" s="26"/>
    </row>
    <row r="1323" spans="2:4" x14ac:dyDescent="0.3">
      <c r="B1323" s="26"/>
      <c r="C1323" s="26"/>
      <c r="D1323" s="26"/>
    </row>
    <row r="1324" spans="2:4" x14ac:dyDescent="0.3">
      <c r="B1324" s="26"/>
      <c r="C1324" s="26"/>
      <c r="D1324" s="26"/>
    </row>
    <row r="1325" spans="2:4" x14ac:dyDescent="0.3">
      <c r="B1325" s="26"/>
      <c r="C1325" s="26"/>
      <c r="D1325" s="26"/>
    </row>
    <row r="1326" spans="2:4" x14ac:dyDescent="0.3">
      <c r="B1326" s="26"/>
      <c r="C1326" s="26"/>
      <c r="D1326" s="26"/>
    </row>
    <row r="1327" spans="2:4" x14ac:dyDescent="0.3">
      <c r="B1327" s="26"/>
      <c r="C1327" s="26"/>
      <c r="D1327" s="26"/>
    </row>
    <row r="1328" spans="2:4" x14ac:dyDescent="0.3">
      <c r="B1328" s="26"/>
      <c r="C1328" s="26"/>
      <c r="D1328" s="26"/>
    </row>
    <row r="1329" spans="2:4" x14ac:dyDescent="0.3">
      <c r="B1329" s="26"/>
      <c r="C1329" s="26"/>
      <c r="D1329" s="26"/>
    </row>
    <row r="1330" spans="2:4" x14ac:dyDescent="0.3">
      <c r="B1330" s="26"/>
      <c r="C1330" s="26"/>
      <c r="D1330" s="26"/>
    </row>
    <row r="1331" spans="2:4" x14ac:dyDescent="0.3">
      <c r="B1331" s="26"/>
      <c r="C1331" s="26"/>
      <c r="D1331" s="26"/>
    </row>
    <row r="1332" spans="2:4" x14ac:dyDescent="0.3">
      <c r="B1332" s="26"/>
      <c r="C1332" s="26"/>
      <c r="D1332" s="26"/>
    </row>
    <row r="1333" spans="2:4" x14ac:dyDescent="0.3">
      <c r="B1333" s="26"/>
      <c r="C1333" s="26"/>
      <c r="D1333" s="26"/>
    </row>
    <row r="1334" spans="2:4" x14ac:dyDescent="0.3">
      <c r="B1334" s="26"/>
      <c r="C1334" s="26"/>
      <c r="D1334" s="26"/>
    </row>
    <row r="1335" spans="2:4" x14ac:dyDescent="0.3">
      <c r="B1335" s="26"/>
      <c r="C1335" s="26"/>
      <c r="D1335" s="26"/>
    </row>
    <row r="1336" spans="2:4" x14ac:dyDescent="0.3">
      <c r="B1336" s="26"/>
      <c r="C1336" s="26"/>
      <c r="D1336" s="26"/>
    </row>
    <row r="1337" spans="2:4" x14ac:dyDescent="0.3">
      <c r="B1337" s="26"/>
      <c r="C1337" s="26"/>
      <c r="D1337" s="26"/>
    </row>
    <row r="1338" spans="2:4" x14ac:dyDescent="0.3">
      <c r="B1338" s="26"/>
      <c r="C1338" s="26"/>
      <c r="D1338" s="26"/>
    </row>
    <row r="1339" spans="2:4" x14ac:dyDescent="0.3">
      <c r="B1339" s="26"/>
      <c r="C1339" s="26"/>
      <c r="D1339" s="26"/>
    </row>
    <row r="1340" spans="2:4" x14ac:dyDescent="0.3">
      <c r="B1340" s="26"/>
      <c r="C1340" s="26"/>
      <c r="D1340" s="26"/>
    </row>
    <row r="1341" spans="2:4" x14ac:dyDescent="0.3">
      <c r="B1341" s="26"/>
      <c r="C1341" s="26"/>
      <c r="D1341" s="26"/>
    </row>
    <row r="1342" spans="2:4" x14ac:dyDescent="0.3">
      <c r="B1342" s="26"/>
      <c r="C1342" s="26"/>
      <c r="D1342" s="26"/>
    </row>
    <row r="1343" spans="2:4" x14ac:dyDescent="0.3">
      <c r="B1343" s="26"/>
      <c r="C1343" s="26"/>
      <c r="D1343" s="26"/>
    </row>
    <row r="1344" spans="2:4" x14ac:dyDescent="0.3">
      <c r="B1344" s="26"/>
      <c r="C1344" s="26"/>
      <c r="D1344" s="26"/>
    </row>
    <row r="1345" spans="2:4" x14ac:dyDescent="0.3">
      <c r="B1345" s="26"/>
      <c r="C1345" s="26"/>
      <c r="D1345" s="26"/>
    </row>
    <row r="1346" spans="2:4" x14ac:dyDescent="0.3">
      <c r="B1346" s="26"/>
      <c r="C1346" s="26"/>
      <c r="D1346" s="26"/>
    </row>
    <row r="1347" spans="2:4" x14ac:dyDescent="0.3">
      <c r="B1347" s="26"/>
      <c r="C1347" s="26"/>
      <c r="D1347" s="26"/>
    </row>
    <row r="1348" spans="2:4" x14ac:dyDescent="0.3">
      <c r="B1348" s="26"/>
      <c r="C1348" s="26"/>
      <c r="D1348" s="26"/>
    </row>
    <row r="1349" spans="2:4" x14ac:dyDescent="0.3">
      <c r="B1349" s="26"/>
      <c r="C1349" s="26"/>
      <c r="D1349" s="26"/>
    </row>
    <row r="1350" spans="2:4" x14ac:dyDescent="0.3">
      <c r="B1350" s="26"/>
      <c r="C1350" s="26"/>
      <c r="D1350" s="26"/>
    </row>
    <row r="1351" spans="2:4" x14ac:dyDescent="0.3">
      <c r="B1351" s="26"/>
      <c r="C1351" s="26"/>
      <c r="D1351" s="26"/>
    </row>
    <row r="1352" spans="2:4" x14ac:dyDescent="0.3">
      <c r="B1352" s="26"/>
      <c r="C1352" s="26"/>
      <c r="D1352" s="26"/>
    </row>
    <row r="1353" spans="2:4" x14ac:dyDescent="0.3">
      <c r="B1353" s="26"/>
      <c r="C1353" s="26"/>
      <c r="D1353" s="26"/>
    </row>
    <row r="1354" spans="2:4" x14ac:dyDescent="0.3">
      <c r="B1354" s="26"/>
      <c r="C1354" s="26"/>
      <c r="D1354" s="26"/>
    </row>
    <row r="1355" spans="2:4" x14ac:dyDescent="0.3">
      <c r="B1355" s="26"/>
      <c r="C1355" s="26"/>
      <c r="D1355" s="26"/>
    </row>
    <row r="1356" spans="2:4" x14ac:dyDescent="0.3">
      <c r="B1356" s="26"/>
      <c r="C1356" s="26"/>
      <c r="D1356" s="26"/>
    </row>
    <row r="1357" spans="2:4" x14ac:dyDescent="0.3">
      <c r="B1357" s="26"/>
      <c r="C1357" s="26"/>
      <c r="D1357" s="26"/>
    </row>
    <row r="1358" spans="2:4" x14ac:dyDescent="0.3">
      <c r="B1358" s="26"/>
      <c r="C1358" s="26"/>
      <c r="D1358" s="26"/>
    </row>
    <row r="1359" spans="2:4" x14ac:dyDescent="0.3">
      <c r="B1359" s="26"/>
      <c r="C1359" s="26"/>
      <c r="D1359" s="26"/>
    </row>
    <row r="1360" spans="2:4" x14ac:dyDescent="0.3">
      <c r="B1360" s="26"/>
      <c r="C1360" s="26"/>
      <c r="D1360" s="26"/>
    </row>
    <row r="1361" spans="2:4" x14ac:dyDescent="0.3">
      <c r="B1361" s="26"/>
      <c r="C1361" s="26"/>
      <c r="D1361" s="26"/>
    </row>
    <row r="1362" spans="2:4" x14ac:dyDescent="0.3">
      <c r="B1362" s="26"/>
      <c r="C1362" s="26"/>
      <c r="D1362" s="26"/>
    </row>
    <row r="1363" spans="2:4" x14ac:dyDescent="0.3">
      <c r="B1363" s="26"/>
      <c r="C1363" s="26"/>
      <c r="D1363" s="26"/>
    </row>
    <row r="1364" spans="2:4" x14ac:dyDescent="0.3">
      <c r="B1364" s="26"/>
      <c r="C1364" s="26"/>
      <c r="D1364" s="26"/>
    </row>
    <row r="1365" spans="2:4" x14ac:dyDescent="0.3">
      <c r="B1365" s="26"/>
      <c r="C1365" s="26"/>
      <c r="D1365" s="26"/>
    </row>
    <row r="1366" spans="2:4" x14ac:dyDescent="0.3">
      <c r="B1366" s="26"/>
      <c r="C1366" s="26"/>
      <c r="D1366" s="26"/>
    </row>
    <row r="1367" spans="2:4" x14ac:dyDescent="0.3">
      <c r="B1367" s="26"/>
      <c r="C1367" s="26"/>
      <c r="D1367" s="26"/>
    </row>
    <row r="1368" spans="2:4" x14ac:dyDescent="0.3">
      <c r="B1368" s="26"/>
      <c r="C1368" s="26"/>
      <c r="D1368" s="26"/>
    </row>
    <row r="1369" spans="2:4" x14ac:dyDescent="0.3">
      <c r="B1369" s="26"/>
      <c r="C1369" s="26"/>
      <c r="D1369" s="26"/>
    </row>
    <row r="1370" spans="2:4" x14ac:dyDescent="0.3">
      <c r="B1370" s="26"/>
      <c r="C1370" s="26"/>
      <c r="D1370" s="26"/>
    </row>
    <row r="1371" spans="2:4" x14ac:dyDescent="0.3">
      <c r="B1371" s="26"/>
      <c r="C1371" s="26"/>
      <c r="D1371" s="26"/>
    </row>
    <row r="1372" spans="2:4" x14ac:dyDescent="0.3">
      <c r="B1372" s="26"/>
      <c r="C1372" s="26"/>
      <c r="D1372" s="26"/>
    </row>
    <row r="1373" spans="2:4" x14ac:dyDescent="0.3">
      <c r="B1373" s="26"/>
      <c r="C1373" s="26"/>
      <c r="D1373" s="26"/>
    </row>
    <row r="1374" spans="2:4" x14ac:dyDescent="0.3">
      <c r="B1374" s="26"/>
      <c r="C1374" s="26"/>
      <c r="D1374" s="26"/>
    </row>
    <row r="1375" spans="2:4" x14ac:dyDescent="0.3">
      <c r="B1375" s="26"/>
      <c r="C1375" s="26"/>
      <c r="D1375" s="26"/>
    </row>
    <row r="1376" spans="2:4" x14ac:dyDescent="0.3">
      <c r="B1376" s="26"/>
      <c r="C1376" s="26"/>
      <c r="D1376" s="26"/>
    </row>
    <row r="1377" spans="2:4" x14ac:dyDescent="0.3">
      <c r="B1377" s="26"/>
      <c r="C1377" s="26"/>
      <c r="D1377" s="26"/>
    </row>
    <row r="1378" spans="2:4" x14ac:dyDescent="0.3">
      <c r="B1378" s="26"/>
      <c r="C1378" s="26"/>
      <c r="D1378" s="26"/>
    </row>
    <row r="1379" spans="2:4" x14ac:dyDescent="0.3">
      <c r="B1379" s="26"/>
      <c r="C1379" s="26"/>
      <c r="D1379" s="26"/>
    </row>
    <row r="1380" spans="2:4" x14ac:dyDescent="0.3">
      <c r="B1380" s="26"/>
      <c r="C1380" s="26"/>
      <c r="D1380" s="26"/>
    </row>
    <row r="1381" spans="2:4" x14ac:dyDescent="0.3">
      <c r="B1381" s="26"/>
      <c r="C1381" s="26"/>
      <c r="D1381" s="26"/>
    </row>
    <row r="1382" spans="2:4" x14ac:dyDescent="0.3">
      <c r="B1382" s="26"/>
      <c r="C1382" s="26"/>
      <c r="D1382" s="26"/>
    </row>
    <row r="1383" spans="2:4" x14ac:dyDescent="0.3">
      <c r="B1383" s="26"/>
      <c r="C1383" s="26"/>
      <c r="D1383" s="26"/>
    </row>
    <row r="1384" spans="2:4" x14ac:dyDescent="0.3">
      <c r="B1384" s="26"/>
      <c r="C1384" s="26"/>
      <c r="D1384" s="26"/>
    </row>
    <row r="1385" spans="2:4" x14ac:dyDescent="0.3">
      <c r="B1385" s="26"/>
      <c r="C1385" s="26"/>
      <c r="D1385" s="26"/>
    </row>
    <row r="1386" spans="2:4" x14ac:dyDescent="0.3">
      <c r="B1386" s="26"/>
      <c r="C1386" s="26"/>
      <c r="D1386" s="26"/>
    </row>
    <row r="1387" spans="2:4" x14ac:dyDescent="0.3">
      <c r="B1387" s="26"/>
      <c r="C1387" s="26"/>
      <c r="D1387" s="26"/>
    </row>
    <row r="1388" spans="2:4" x14ac:dyDescent="0.3">
      <c r="B1388" s="26"/>
      <c r="C1388" s="26"/>
      <c r="D1388" s="26"/>
    </row>
    <row r="1389" spans="2:4" x14ac:dyDescent="0.3">
      <c r="B1389" s="26"/>
      <c r="C1389" s="26"/>
      <c r="D1389" s="26"/>
    </row>
    <row r="1390" spans="2:4" x14ac:dyDescent="0.3">
      <c r="B1390" s="26"/>
      <c r="C1390" s="26"/>
      <c r="D1390" s="26"/>
    </row>
    <row r="1391" spans="2:4" x14ac:dyDescent="0.3">
      <c r="B1391" s="26"/>
      <c r="C1391" s="26"/>
      <c r="D1391" s="26"/>
    </row>
    <row r="1392" spans="2:4" x14ac:dyDescent="0.3">
      <c r="B1392" s="26"/>
      <c r="C1392" s="26"/>
      <c r="D1392" s="26"/>
    </row>
    <row r="1393" spans="2:4" x14ac:dyDescent="0.3">
      <c r="B1393" s="26"/>
      <c r="C1393" s="26"/>
      <c r="D1393" s="26"/>
    </row>
    <row r="1394" spans="2:4" x14ac:dyDescent="0.3">
      <c r="B1394" s="26"/>
      <c r="C1394" s="26"/>
      <c r="D1394" s="26"/>
    </row>
    <row r="1395" spans="2:4" x14ac:dyDescent="0.3">
      <c r="B1395" s="26"/>
      <c r="C1395" s="26"/>
      <c r="D1395" s="26"/>
    </row>
    <row r="1396" spans="2:4" x14ac:dyDescent="0.3">
      <c r="B1396" s="26"/>
      <c r="C1396" s="26"/>
      <c r="D1396" s="26"/>
    </row>
    <row r="1397" spans="2:4" x14ac:dyDescent="0.3">
      <c r="B1397" s="26"/>
      <c r="C1397" s="26"/>
      <c r="D1397" s="26"/>
    </row>
    <row r="1398" spans="2:4" x14ac:dyDescent="0.3">
      <c r="B1398" s="26"/>
      <c r="C1398" s="26"/>
      <c r="D1398" s="26"/>
    </row>
    <row r="1399" spans="2:4" x14ac:dyDescent="0.3">
      <c r="B1399" s="26"/>
      <c r="C1399" s="26"/>
      <c r="D1399" s="26"/>
    </row>
    <row r="1400" spans="2:4" x14ac:dyDescent="0.3">
      <c r="B1400" s="26"/>
      <c r="C1400" s="26"/>
      <c r="D1400" s="26"/>
    </row>
    <row r="1401" spans="2:4" x14ac:dyDescent="0.3">
      <c r="B1401" s="26"/>
      <c r="C1401" s="26"/>
      <c r="D1401" s="26"/>
    </row>
    <row r="1402" spans="2:4" x14ac:dyDescent="0.3">
      <c r="B1402" s="26"/>
      <c r="C1402" s="26"/>
      <c r="D1402" s="26"/>
    </row>
  </sheetData>
  <sheetProtection algorithmName="SHA-512" hashValue="bPUtGwgCegAy/+iZio70Qg9Tf37KyDjS/tCKHKl++Bbe8JJuH3nvaVg40h7PuBCx/yaLO2BX2h7am841f6Fuvw==" saltValue="XVAPGcI3GhwIxZutMdHUAA==" spinCount="100000" sheet="1" objects="1" scenarios="1"/>
  <mergeCells count="1">
    <mergeCell ref="B1:I1"/>
  </mergeCells>
  <conditionalFormatting sqref="I3:I933">
    <cfRule type="cellIs" dxfId="5" priority="6" stopIfTrue="1" operator="equal">
      <formula>1</formula>
    </cfRule>
  </conditionalFormatting>
  <conditionalFormatting sqref="I3:I65536">
    <cfRule type="cellIs" dxfId="4" priority="1" stopIfTrue="1" operator="equal">
      <formula>9</formula>
    </cfRule>
    <cfRule type="cellIs" dxfId="3" priority="2" stopIfTrue="1" operator="equal">
      <formula>6</formula>
    </cfRule>
    <cfRule type="cellIs" dxfId="2" priority="3" stopIfTrue="1" operator="equal">
      <formula>4</formula>
    </cfRule>
    <cfRule type="cellIs" dxfId="1" priority="4" stopIfTrue="1" operator="equal">
      <formula>3</formula>
    </cfRule>
    <cfRule type="cellIs" dxfId="0" priority="5" stopIfTrue="1" operator="equal">
      <formula>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0</xdr:col>
                <xdr:colOff>0</xdr:colOff>
                <xdr:row>0</xdr:row>
                <xdr:rowOff>7620</xdr:rowOff>
              </from>
              <to>
                <xdr:col>0</xdr:col>
                <xdr:colOff>1402080</xdr:colOff>
                <xdr:row>2</xdr:row>
                <xdr:rowOff>152400</xdr:rowOff>
              </to>
            </anchor>
          </controlPr>
        </control>
      </mc:Choice>
      <mc:Fallback>
        <control shapeId="4097"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0000000}">
          <x14:formula1>
            <xm:f>'Tablas AR'!$B$4:$B$6</xm:f>
          </x14:formula1>
          <xm:sqref>E3:E933</xm:sqref>
        </x14:dataValidation>
        <x14:dataValidation type="list" allowBlank="1" showInputMessage="1" showErrorMessage="1" xr:uid="{00000000-0002-0000-0600-000001000000}">
          <x14:formula1>
            <xm:f>'Tablas AR'!$B$10:$B$12</xm:f>
          </x14:formula1>
          <xm:sqref>G3:G933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Ejemplo de análisis</vt:lpstr>
      <vt:lpstr>Tablas AR</vt:lpstr>
      <vt:lpstr>Catálogo amenazas</vt:lpstr>
      <vt:lpstr>Activos</vt:lpstr>
      <vt:lpstr>Cruces Activo-Amenaza</vt:lpstr>
      <vt:lpstr>Análisis de Riesgos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2014-06-04T15:51:15Z</dcterms:created>
  <dcterms:modified xsi:type="dcterms:W3CDTF">2024-06-26T19:08:38Z</dcterms:modified>
</cp:coreProperties>
</file>